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e43c70e7a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e3faab4b4ce42c5"/>
    <x:sheet xmlns:r="http://schemas.openxmlformats.org/officeDocument/2006/relationships" name="Immobilien_Vergleich" sheetId="2" r:id="R3ef19790a7a24bae"/>
    <x:sheet xmlns:r="http://schemas.openxmlformats.org/officeDocument/2006/relationships" name="Fahrzeiten" sheetId="3" r:id="Rdb33f1f1a4df484a"/>
    <x:sheet xmlns:r="http://schemas.openxmlformats.org/officeDocument/2006/relationships" name="Skigebiete" sheetId="4" r:id="Rb8f2b690e40d43f8"/>
    <x:sheet xmlns:r="http://schemas.openxmlformats.org/officeDocument/2006/relationships" name="Bewertungsmatrix" sheetId="5" r:id="Rb40528faeb7c4731"/>
    <x:sheet xmlns:r="http://schemas.openxmlformats.org/officeDocument/2006/relationships" name="Quellen_Notizen" sheetId="6" r:id="R2eda675fa33749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 €"/>
    <x:numFmt numFmtId="201" formatCode="0 &quot;min&quot;"/>
    <x:numFmt numFmtId="202" formatCode="#,##0.00"/>
    <x:numFmt numFmtId="203" formatCode="0.0%"/>
    <x:numFmt numFmtId="204" formatCode="0 &quot;km&quot;"/>
    <x:numFmt numFmtId="205" formatCode="0%"/>
    <x:numFmt numFmtId="206" formatCode="0.0"/>
    <x:numFmt numFmtId="207" formatCode="0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FFF2CC"/>
      </x:patternFill>
    </x:fill>
    <x:fill>
      <x:patternFill patternType="solid">
        <x:fgColor rgb="1F4E78"/>
      </x:patternFill>
    </x:fill>
    <x:fill>
      <x:patternFill patternType="solid">
        <x:fgColor rgb="F8FBFD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200" fontId="3" fillId="5" borderId="0" xfId="0" applyNumberFormat="1" applyFont="1" applyFill="1" applyBorder="1" applyAlignment="1">
      <x:alignment horizontal="center" vertical="center" wrapText="1"/>
    </x:xf>
    <x:xf numFmtId="200" fontId="3" fillId="5" borderId="1" xfId="0" applyNumberFormat="1" applyFont="1" applyFill="1" applyBorder="1" applyAlignment="1">
      <x:alignment horizontal="center" vertical="center" wrapText="1"/>
    </x:xf>
    <x:xf numFmtId="201" fontId="3" fillId="5" borderId="0" xfId="0" applyNumberFormat="1" applyFont="1" applyFill="1" applyBorder="1" applyAlignment="1">
      <x:alignment horizontal="center" vertical="center" wrapText="1"/>
    </x:xf>
    <x:xf numFmtId="201" fontId="3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6" fontId="0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  <x:xf numFmtId="207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left"/>
    </x:xf>
    <x:xf numFmtId="0" fontId="2" fillId="6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xfId="0" applyNumberFormat="1" applyFont="1" applyFill="1" applyBorder="0" applyAlignment="1">
      <x:alignment horizontal="center"/>
    </x:xf>
    <x:xf numFmtId="0" fontId="0" fillId="0" xfId="0" applyNumberFormat="1" applyFont="1" applyFill="1" applyBorder="0" applyAlignment="1">
      <x:alignment wrapText="1"/>
    </x:xf>
  </x:cellXfs>
  <x:cellStyles count="1">
    <x:cellStyle name="Normal" xfId="0"/>
  </x:cellStyles>
  <x:dxfs count="2">
    <x:dxf>
      <x:fill>
        <x:patternFill>
          <x:bgColor rgb="D9EAD3"/>
        </x:patternFill>
      </x:fill>
    </x:dxf>
    <x:dxf>
      <x:fill>
        <x:patternFill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07ede9cd5f4db6" /><Relationship Type="http://schemas.openxmlformats.org/officeDocument/2006/relationships/theme" Target="/xl/theme/theme1.xml" Id="Rde8b033696b6412a" /><Relationship Type="http://schemas.openxmlformats.org/officeDocument/2006/relationships/sharedStrings" Target="/xl/sharedStrings.xml" Id="Ra296fd28e9884613" /><Relationship Type="http://schemas.openxmlformats.org/officeDocument/2006/relationships/worksheet" Target="/xl/worksheets/sheet1.xml" Id="R7e3faab4b4ce42c5" /><Relationship Type="http://schemas.openxmlformats.org/officeDocument/2006/relationships/worksheet" Target="/xl/worksheets/sheet2.xml" Id="R3ef19790a7a24bae" /><Relationship Type="http://schemas.openxmlformats.org/officeDocument/2006/relationships/worksheet" Target="/xl/worksheets/sheet3.xml" Id="Rdb33f1f1a4df484a" /><Relationship Type="http://schemas.openxmlformats.org/officeDocument/2006/relationships/worksheet" Target="/xl/worksheets/sheet4.xml" Id="Rb8f2b690e40d43f8" /><Relationship Type="http://schemas.openxmlformats.org/officeDocument/2006/relationships/worksheet" Target="/xl/worksheets/sheet5.xml" Id="Rb40528faeb7c4731" /><Relationship Type="http://schemas.openxmlformats.org/officeDocument/2006/relationships/worksheet" Target="/xl/worksheets/sheet6.xml" Id="R2eda675fa337498c" /></Relationships>
</file>

<file path=xl/tables/table1.xml><?xml version="1.0" encoding="utf-8"?>
<x:table xmlns:x="http://schemas.openxmlformats.org/spreadsheetml/2006/main" id="1" name="TblImmobilien" displayName="TblImmobilien" ref="A1:AF9" headerRowCount="1">
  <x:tableColumns count="32">
    <x:tableColumn id="1" name="ID"/>
    <x:tableColumn id="2" name="Titel"/>
    <x:tableColumn id="3" name="Ort"/>
    <x:tableColumn id="4" name="PLZ"/>
    <x:tableColumn id="5" name="Bundesland"/>
    <x:tableColumn id="6" name="Kaufpreis"/>
    <x:tableColumn id="7" name="Wohnfläche m²"/>
    <x:tableColumn id="8" name="Grundstück m²"/>
    <x:tableColumn id="9" name="Preis €/m²"/>
    <x:tableColumn id="10" name="Zimmer"/>
    <x:tableColumn id="11" name="Schlafzimmer"/>
    <x:tableColumn id="12" name="Bäder"/>
    <x:tableColumn id="13" name="WCs"/>
    <x:tableColumn id="14" name="Baujahr"/>
    <x:tableColumn id="15" name="Typ"/>
    <x:tableColumn id="16" name="Zustand"/>
    <x:tableColumn id="17" name="Etagen"/>
    <x:tableColumn id="18" name="Stellplätze/Garage"/>
    <x:tableColumn id="19" name="Energie"/>
    <x:tableColumn id="20" name="Heizung"/>
    <x:tableColumn id="21" name="Makler brutto %"/>
    <x:tableColumn id="22" name="Kaufnebenkosten % grob"/>
    <x:tableColumn id="23" name="Gesamtkosten grob"/>
    <x:tableColumn id="24" name="Ø Fahrzeit min"/>
    <x:tableColumn id="25" name="Nächster Ski"/>
    <x:tableColumn id="26" name="Ski min"/>
    <x:tableColumn id="27" name="Ferien-/Tourismusstatus"/>
    <x:tableColumn id="28" name="Ferienhaus-Notiz"/>
    <x:tableColumn id="29" name="Einheiten/Nutzung"/>
    <x:tableColumn id="30" name="Highlights"/>
    <x:tableColumn id="31" name="Risiken / offene Punkte"/>
    <x:tableColumn id="32" name="Quelle"/>
  </x:tableColumns>
  <x:tableStyleInfo name="TableStyleMedium2" showRowStripes="1"/>
</x:table>
</file>

<file path=xl/tables/table2.xml><?xml version="1.0" encoding="utf-8"?>
<x:table xmlns:x="http://schemas.openxmlformats.org/spreadsheetml/2006/main" id="2" name="TblFahrzeiten" displayName="TblFahrzeiten" ref="A1:H41" headerRowCount="1">
  <x:tableColumns count="8">
    <x:tableColumn id="1" name="ID"/>
    <x:tableColumn id="2" name="Objekt"/>
    <x:tableColumn id="3" name="Zielort"/>
    <x:tableColumn id="4" name="Start"/>
    <x:tableColumn id="5" name="Auto-Fahrzeit min"/>
    <x:tableColumn id="6" name="Auto-Fahrzeit h:mm"/>
    <x:tableColumn id="7" name="Google Maps Prüflink"/>
    <x:tableColumn id="8" name="Datenqualität"/>
  </x:tableColumns>
  <x:tableStyleInfo name="TableStyleMedium2" showRowStripes="1"/>
</x:table>
</file>

<file path=xl/tables/table3.xml><?xml version="1.0" encoding="utf-8"?>
<x:table xmlns:x="http://schemas.openxmlformats.org/spreadsheetml/2006/main" id="3" name="TblSkigebiete" displayName="TblSkigebiete" ref="A1:J25" headerRowCount="1">
  <x:tableColumns count="10">
    <x:tableColumn id="1" name="ID"/>
    <x:tableColumn id="2" name="Objekt"/>
    <x:tableColumn id="3" name="Zielort"/>
    <x:tableColumn id="4" name="Skigebiet / Talstation"/>
    <x:tableColumn id="5" name="Ort Talstation"/>
    <x:tableColumn id="6" name="Distanz km ca."/>
    <x:tableColumn id="7" name="Fahrzeit min ca."/>
    <x:tableColumn id="8" name="Google Maps Prüflink"/>
    <x:tableColumn id="9" name="Quelle Skigebiet"/>
    <x:tableColumn id="10" name="Datenqualität"/>
  </x:tableColumns>
  <x:tableStyleInfo name="TableStyleMedium2" showRowStripes="1"/>
</x:table>
</file>

<file path=xl/tables/table4.xml><?xml version="1.0" encoding="utf-8"?>
<x:table xmlns:x="http://schemas.openxmlformats.org/spreadsheetml/2006/main" id="4" name="TblBewertung" displayName="TblBewertung" ref="A8:K16" headerRowCount="1">
  <x:tableColumns count="11">
    <x:tableColumn id="1" name="ID"/>
    <x:tableColumn id="2" name="Objekt"/>
    <x:tableColumn id="3" name="Ort"/>
    <x:tableColumn id="4" name="Preis/m² Score"/>
    <x:tableColumn id="5" name="Fahrzeit Score"/>
    <x:tableColumn id="6" name="Ski Score"/>
    <x:tableColumn id="7" name="Ferien Score"/>
    <x:tableColumn id="8" name="Fläche Score"/>
    <x:tableColumn id="9" name="Gesamtscore"/>
    <x:tableColumn id="10" name="Rang"/>
    <x:tableColumn id="11" name="Kommenta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c65240b85543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deb41cb0744a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2708db12b14f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fd34a3fb4b4dca" /></Relationships>
</file>

<file path=xl/worksheets/sheet1.xml><?xml version="1.0" encoding="utf-8"?>
<x:worksheet xmlns:x="http://schemas.openxmlformats.org/spreadsheetml/2006/main">
  <x:sheetFormatPr defaultRowHeight="15"/>
  <x:cols>
    <x:col min="1" max="1" width="189.77000427246094" hidden="0" customWidth="1"/>
    <x:col min="2" max="2" width="34" hidden="0" customWidth="1"/>
    <x:col min="3" max="3" width="21.1299991607666" hidden="0" customWidth="1"/>
    <x:col min="4" max="4" width="41.9900016784668" hidden="0" customWidth="1"/>
    <x:col min="5" max="5" width="13.460000038146973" hidden="0" customWidth="1"/>
    <x:col min="6" max="6" width="21.530000686645508" hidden="0" customWidth="1"/>
    <x:col min="7" max="7" width="33.779998779296875" hidden="0" customWidth="1"/>
    <x:col min="8" max="8" width="52" hidden="0" customWidth="1"/>
  </x:cols>
  <x:sheetData>
    <x:row r="1" ht="34" customHeight="1">
      <x:c r="A1" s="5" t="str">
        <x:v>Immobilienvergleich Ferienhaus-Projekt Tirol – Stand 2026-06-04</x:v>
      </x:c>
    </x:row>
    <x:row r="2" ht="48" customHeight="1">
      <x:c r="A2" s="12" t="str">
        <x:v>Hinweis: Exposé-Daten wurden aus den verlinkten Inseraten übernommen. Fahrzeiten und Skigebietsentfernungen sind Näherungen und mit den enthaltenen Google-Maps-Prüflinks zu validieren. Keine Rechts-, Steuer- oder Kaufberatung.</x:v>
      </x:c>
    </x:row>
    <x:row r="3" ht="30" customHeight="1"/>
    <x:row r="4" ht="30" customHeight="1">
      <x:c r="A4" s="18" t="str">
        <x:v>Objekte</x:v>
      </x:c>
      <x:c r="B4" s="18" t="str">
        <x:v>Preisspanne</x:v>
      </x:c>
      <x:c r="C4" s="18" t="str">
        <x:v>Ø €/m²</x:v>
      </x:c>
      <x:c r="D4" s="18" t="str">
        <x:v>Beste Ferien-/Tourismus-Basis</x:v>
      </x:c>
      <x:c r="E4" s="18" t="str">
        <x:v>Niedrigster Preis</x:v>
      </x:c>
      <x:c r="F4" s="18" t="str">
        <x:v>Nächster Ski-Minutenwert</x:v>
      </x:c>
    </x:row>
    <x:row r="5" ht="30" customHeight="1">
      <x:c r="A5" s="28" t="n">
        <x:f>COUNTA(Immobilien_Vergleich!A2:A9)</x:f>
        <x:v>8</x:v>
      </x:c>
      <x:c r="B5" s="28" t="str">
        <x:v>389.000 € – 1.250.000 €</x:v>
      </x:c>
      <x:c r="C5" s="34" t="n">
        <x:f>AVERAGE(Immobilien_Vergleich!I2:I9)</x:f>
        <x:v>3074.5499858770117</x:v>
      </x:c>
      <x:c r="D5" s="28" t="str">
        <x:v>Pfunds / Sautens / Ötz, jeweils Rechtsprüfung nötig</x:v>
      </x:c>
      <x:c r="E5" s="28" t="str">
        <x:f>INDEX(Immobilien_Vergleich!B2:B9,MATCH(MIN(Immobilien_Vergleich!F2:F9),Immobilien_Vergleich!F2:F9,0))</x:f>
        <x:v>Einfamilienhaus in Faggen – Wohnen mit Charme und Ausblick</x:v>
      </x:c>
      <x:c r="F5" s="36" t="n">
        <x:f>MIN(Immobilien_Vergleich!Z2:Z9)</x:f>
        <x:v>4</x:v>
      </x:c>
    </x:row>
    <x:row r="6" ht="30" customHeight="1"/>
    <x:row r="7" ht="30" customHeight="1"/>
    <x:row r="8" ht="30" customHeight="1">
      <x:c r="A8" s="18" t="str">
        <x:v>Rang</x:v>
      </x:c>
      <x:c r="B8" s="18" t="str">
        <x:v>Objekt</x:v>
      </x:c>
      <x:c r="C8" s="18" t="str">
        <x:v>Ort</x:v>
      </x:c>
      <x:c r="D8" s="18" t="str">
        <x:v>Kaufpreis</x:v>
      </x:c>
      <x:c r="E8" s="18" t="str">
        <x:v>€/m²</x:v>
      </x:c>
      <x:c r="F8" s="18" t="str">
        <x:v>Ø Fahrzeit</x:v>
      </x:c>
      <x:c r="G8" s="18" t="str">
        <x:v>Ferien-/Tourismusstatus</x:v>
      </x:c>
      <x:c r="H8" s="18" t="str">
        <x:v>Kurzfazit</x:v>
      </x:c>
    </x:row>
    <x:row r="9" ht="30" customHeight="1">
      <x:c r="A9" s="10" t="n">
        <x:v>1</x:v>
      </x:c>
      <x:c r="B9" s="10" t="str">
        <x:v>Wohnhaus am Eingang des Ötztals</x:v>
      </x:c>
      <x:c r="C9" s="10" t="str">
        <x:v>Sautens</x:v>
      </x:c>
      <x:c r="D9" s="38" t="n">
        <x:v>595000</x:v>
      </x:c>
      <x:c r="E9" s="38" t="n">
        <x:v>2532</x:v>
      </x:c>
      <x:c r="F9" s="40" t="n">
        <x:v>146</x:v>
      </x:c>
      <x:c r="G9" s="10" t="str">
        <x:v>Potenzial, prüfen</x:v>
      </x:c>
      <x:c r="H9" s="10" t="str">
        <x:v>235 m²; 10 Zimmer; 3 Einheiten; Pelletheizung; Garten/Pool; Nähe Hochoetz/Ötztal; Vermietungspotenzial erwähnt.</x:v>
      </x:c>
    </x:row>
    <x:row r="10" ht="30" customHeight="1">
      <x:c r="A10" s="10" t="n">
        <x:v>2</x:v>
      </x:c>
      <x:c r="B10" s="10" t="str">
        <x:v>Luxuriöses Traumhaus in Tirol (Neustift / Kampl)</x:v>
      </x:c>
      <x:c r="C10" s="10" t="str">
        <x:v>Telfes im Stubai / Stubaital</x:v>
      </x:c>
      <x:c r="D10" s="38" t="n">
        <x:v>1250000</x:v>
      </x:c>
      <x:c r="E10" s="38" t="n">
        <x:v>3599</x:v>
      </x:c>
      <x:c r="F10" s="40" t="n">
        <x:v>149.4</x:v>
      </x:c>
      <x:c r="G10" s="10" t="str">
        <x:v>Potenzial, nicht rechtsverbindlich bestätigt</x:v>
      </x:c>
      <x:c r="H10" s="10" t="str">
        <x:v>Sehr groß; 4 Bäder; getrennte Einliegerwohnungen; Stubaital; Nachbargrundstück evtl. zusätzlich erwerbbar.</x:v>
      </x:c>
    </x:row>
    <x:row r="11" ht="30" customHeight="1">
      <x:c r="A11" s="10" t="n">
        <x:v>3</x:v>
      </x:c>
      <x:c r="B11" s="10" t="str">
        <x:v>Mehr-Generationenhaus mit viel Platz für Familien</x:v>
      </x:c>
      <x:c r="C11" s="10" t="str">
        <x:v>Flaurling</x:v>
      </x:c>
      <x:c r="D11" s="38" t="n">
        <x:v>850000</x:v>
      </x:c>
      <x:c r="E11" s="38" t="n">
        <x:v>1410</x:v>
      </x:c>
      <x:c r="F11" s="40" t="n">
        <x:v>150</x:v>
      </x:c>
      <x:c r="G11" s="10" t="str">
        <x:v>Nicht ersichtlich / prüfen</x:v>
      </x:c>
      <x:c r="H11" s="10" t="str">
        <x:v>Sehr viel Fläche; Garten laut Text; Dorfkernlage; gute Erreichbarkeit; mehrere Zugänge.</x:v>
      </x:c>
    </x:row>
    <x:row r="12" ht="30" customHeight="1">
      <x:c r="A12" s="10" t="n">
        <x:v>4</x:v>
      </x:c>
      <x:c r="B12" s="10" t="str">
        <x:v>Über den Dächern von Ötz – Haus mit traumhafter Aussicht</x:v>
      </x:c>
      <x:c r="C12" s="10" t="str">
        <x:v>Oetz / Ötz</x:v>
      </x:c>
      <x:c r="D12" s="38" t="n">
        <x:v>420000</x:v>
      </x:c>
      <x:c r="E12" s="38" t="n">
        <x:v>3684</x:v>
      </x:c>
      <x:c r="F12" s="40" t="n">
        <x:v>151</x:v>
      </x:c>
      <x:c r="G12" s="10" t="str">
        <x:v>Potenzial, prüfen</x:v>
      </x:c>
      <x:c r="H12" s="10" t="str">
        <x:v>Niedriger Preis; großer Grund; zwei Einheiten; Ferienwohnung bereits genutzt; Nähe Hochoetz.</x:v>
      </x:c>
    </x:row>
    <x:row r="13" ht="30" customHeight="1">
      <x:c r="A13" s="10" t="n">
        <x:v>5</x:v>
      </x:c>
      <x:c r="B13" s="10" t="str">
        <x:v>Waldchalet Pfunds – provisionsfrei</x:v>
      </x:c>
      <x:c r="C13" s="10" t="str">
        <x:v>Pfunds</x:v>
      </x:c>
      <x:c r="D13" s="38" t="n">
        <x:v>670000</x:v>
      </x:c>
      <x:c r="E13" s="38" t="n">
        <x:v>2393</x:v>
      </x:c>
      <x:c r="F13" s="40" t="n">
        <x:v>170</x:v>
      </x:c>
      <x:c r="G13" s="10" t="str">
        <x:v>Gute Grundlage, rechtlich prüfen</x:v>
      </x:c>
      <x:c r="H13" s="10" t="str">
        <x:v>Provisionsfrei; großes Grundstück; Tourismusgebiet-Widmung; Nähe Serfaus-Fiss-Ladis, Nauders, Samnaun/Ischgl; viel Nutzfläche.</x:v>
      </x:c>
    </x:row>
    <x:row r="14" ht="30" customHeight="1">
      <x:c r="A14" s="10" t="n">
        <x:v>6</x:v>
      </x:c>
      <x:c r="B14" s="10" t="str">
        <x:v>Familienglück mit Panoramablick – Haus im vorderen Ötztal</x:v>
      </x:c>
      <x:c r="C14" s="10" t="str">
        <x:v>Ötz / Taxegg</x:v>
      </x:c>
      <x:c r="D14" s="38" t="n">
        <x:v>599000</x:v>
      </x:c>
      <x:c r="E14" s="38" t="n">
        <x:v>3608</x:v>
      </x:c>
      <x:c r="F14" s="40" t="n">
        <x:v>151</x:v>
      </x:c>
      <x:c r="G14" s="10" t="str">
        <x:v>Nicht ersichtlich / prüfen</x:v>
      </x:c>
      <x:c r="H14" s="10" t="str">
        <x:v>4 Schlafzimmer; ordentliche Stellplatzsituation; Nähe Hochoetz; guter Familiengrundriss.</x:v>
      </x:c>
    </x:row>
    <x:row r="15" ht="30" customHeight="1">
      <x:c r="A15" s="10" t="n">
        <x:v>7</x:v>
      </x:c>
      <x:c r="B15" s="10" t="str">
        <x:v>Haus in Omes/Axams mit Garten, Garage und Bergblick</x:v>
      </x:c>
      <x:c r="C15" s="10" t="str">
        <x:v>Omes / Axams</x:v>
      </x:c>
      <x:c r="D15" s="38" t="n">
        <x:v>690000</x:v>
      </x:c>
      <x:c r="E15" s="38" t="n">
        <x:v>3833</x:v>
      </x:c>
      <x:c r="F15" s="40" t="n">
        <x:v>150</x:v>
      </x:c>
      <x:c r="G15" s="10" t="str">
        <x:v>Nicht ersichtlich / prüfen</x:v>
      </x:c>
      <x:c r="H15" s="10" t="str">
        <x:v>Nähe Innsbruck; Axams/Omes; 9 Zimmer; Bergblick; große Kellerfläche; aktuell preisreduziert.</x:v>
      </x:c>
    </x:row>
    <x:row r="16" ht="30" customHeight="1">
      <x:c r="A16" s="10" t="n">
        <x:v>8</x:v>
      </x:c>
      <x:c r="B16" s="10" t="str">
        <x:v>Einfamilienhaus in Faggen – Wohnen mit Charme und Ausblick</x:v>
      </x:c>
      <x:c r="C16" s="10" t="str">
        <x:v>Faggen</x:v>
      </x:c>
      <x:c r="D16" s="38" t="n">
        <x:v>389000</x:v>
      </x:c>
      <x:c r="E16" s="38" t="n">
        <x:v>3536</x:v>
      </x:c>
      <x:c r="F16" s="40" t="n">
        <x:v>163</x:v>
      </x:c>
      <x:c r="G16" s="10" t="str">
        <x:v>Nicht ersichtlich / prüfen</x:v>
      </x:c>
      <x:c r="H16" s="10" t="str">
        <x:v>Niedriger Kaufpreis; 3 Schlafzimmer laut Text; viele Stellplätze/Garagen; Nähe Kaunertal/Serfaus-Fiss-Ladis.</x:v>
      </x:c>
    </x:row>
    <x:row r="17" ht="30" customHeight="1"/>
    <x:row r="18" ht="30" customHeight="1"/>
    <x:row r="19" ht="30" customHeight="1">
      <x:c r="A19" s="66" t="str">
        <x:v>Wichtigste Annahmen / Prüfpunkte</x:v>
      </x:c>
    </x:row>
    <x:row r="20" ht="30" customHeight="1">
      <x:c r="A20" s="69" t="str">
        <x:v>1</x:v>
      </x:c>
      <x:c r="B20" s="70" t="str">
        <x:v>Fahrzeiten: geschätzt, Google-Maps-Prüflinks sind in Blatt Fahrzeiten enthalten. Vor Besichtigung/Entscheidung live prüfen.</x:v>
      </x:c>
    </x:row>
    <x:row r="21" ht="30" customHeight="1">
      <x:c r="A21" s="69" t="str">
        <x:v>2</x:v>
      </x:c>
      <x:c r="B21" s="70" t="str">
        <x:v>Ferienhaus-/Freizeitwohnsitz-Zulassung: aus Inseraten nicht belastbar belegbar. Blatt Immobilien_Vergleich unterscheidet nur Hinweise/Potenzial.</x:v>
      </x:c>
    </x:row>
    <x:row r="22" ht="30" customHeight="1">
      <x:c r="A22" s="69" t="str">
        <x:v>3</x:v>
      </x:c>
      <x:c r="B22" s="70" t="str">
        <x:v>Kaufnebenkosten: grobe AT-Annahme 3,5 % GrESt + 1,1 % Grundbuch + 1,8 % Vertrag/Treuhand + Inserat-Makler brutto.</x:v>
      </x:c>
    </x:row>
    <x:row r="23" ht="30" customHeight="1">
      <x:c r="A23" s="69" t="str">
        <x:v>4</x:v>
      </x:c>
      <x:c r="B23" s="70" t="str">
        <x:v>Duplicate: das Faggen-Exposé wurde vom Nutzer doppelt verlinkt und im Vergleich nur einmal geführt.</x:v>
      </x:c>
    </x:row>
    <x:row r="24" ht="30" customHeight="1"/>
    <x:row r="25" ht="30" customHeight="1"/>
    <x:row r="26" ht="30" customHeight="1"/>
    <x:row r="27" ht="30" customHeight="1"/>
    <x:row r="28" ht="30" customHeight="1"/>
    <x:row r="29" ht="30" customHeight="1"/>
    <x:row r="30" ht="30" customHeight="1"/>
    <x:row r="31" ht="30" customHeight="1"/>
    <x:row r="32" ht="30" customHeight="1"/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  <x:row r="41" ht="30" customHeight="1"/>
    <x:row r="42" ht="30" customHeight="1"/>
    <x:row r="43" ht="30" customHeight="1"/>
    <x:row r="44" ht="30" customHeight="1"/>
    <x:row r="45" ht="30" customHeight="1"/>
    <x:row r="46" ht="30" customHeight="1"/>
    <x:row r="47" ht="30" customHeight="1"/>
    <x:row r="48" ht="30" customHeight="1"/>
    <x:row r="49" ht="30" customHeight="1"/>
    <x:row r="50" ht="30" customHeight="1"/>
    <x:row r="51" ht="30" customHeight="1"/>
    <x:row r="52" ht="30" customHeight="1"/>
    <x:row r="53" ht="30" customHeight="1"/>
    <x:row r="54" ht="30" customHeight="1"/>
    <x:row r="55" ht="30" customHeight="1"/>
    <x:row r="56" ht="30" customHeight="1"/>
    <x:row r="57" ht="30" customHeight="1"/>
    <x:row r="58" ht="30" customHeight="1"/>
    <x:row r="59" ht="30" customHeight="1"/>
    <x:row r="60" ht="30" customHeight="1"/>
    <x:row r="61" ht="30" customHeight="1"/>
    <x:row r="62" ht="30" customHeight="1"/>
    <x:row r="63" ht="30" customHeight="1"/>
    <x:row r="64" ht="30" customHeight="1"/>
    <x:row r="65" ht="30" customHeight="1"/>
    <x:row r="66" ht="30" customHeight="1"/>
    <x:row r="67" ht="30" customHeight="1"/>
    <x:row r="68" ht="30" customHeight="1"/>
    <x:row r="69" ht="30" customHeight="1"/>
    <x:row r="70" ht="30" customHeight="1"/>
    <x:row r="71" ht="30" customHeight="1"/>
    <x:row r="72" ht="30" customHeight="1"/>
    <x:row r="73" ht="30" customHeight="1"/>
    <x:row r="74" ht="30" customHeight="1"/>
    <x:row r="75" ht="30" customHeight="1"/>
    <x:row r="76" ht="30" customHeight="1"/>
    <x:row r="77" ht="30" customHeight="1"/>
    <x:row r="78" ht="30" customHeight="1"/>
    <x:row r="79" ht="30" customHeight="1"/>
    <x:row r="80" ht="30" customHeight="1"/>
    <x:row r="81" ht="30" customHeight="1"/>
    <x:row r="82" ht="30" customHeight="1"/>
    <x:row r="83" ht="30" customHeight="1"/>
    <x:row r="84" ht="30" customHeight="1"/>
    <x:row r="85" ht="30" customHeight="1"/>
    <x:row r="86" ht="30" customHeight="1"/>
    <x:row r="87" ht="30" customHeight="1"/>
    <x:row r="88" ht="30" customHeight="1"/>
    <x:row r="89" ht="30" customHeight="1"/>
    <x:row r="90" ht="30" customHeight="1"/>
    <x:row r="91" ht="30" customHeight="1"/>
    <x:row r="92" ht="30" customHeight="1"/>
    <x:row r="93" ht="30" customHeight="1"/>
    <x:row r="94" ht="30" customHeight="1"/>
    <x:row r="95" ht="30" customHeight="1"/>
    <x:row r="96" ht="30" customHeight="1"/>
    <x:row r="97" ht="30" customHeight="1"/>
    <x:row r="98" ht="30" customHeight="1"/>
    <x:row r="99" ht="30" customHeight="1"/>
    <x:row r="100" ht="30" customHeight="1"/>
    <x:row r="101" ht="30" customHeight="1"/>
    <x:row r="102" ht="30" customHeight="1"/>
    <x:row r="103" ht="30" customHeight="1"/>
    <x:row r="104" ht="30" customHeight="1"/>
    <x:row r="105" ht="30" customHeight="1"/>
    <x:row r="106" ht="30" customHeight="1"/>
    <x:row r="107" ht="30" customHeight="1"/>
    <x:row r="108" ht="30" customHeight="1"/>
    <x:row r="109" ht="30" customHeight="1"/>
    <x:row r="110" ht="30" customHeight="1"/>
    <x:row r="111" ht="30" customHeight="1"/>
    <x:row r="112" ht="30" customHeight="1"/>
    <x:row r="113" ht="30" customHeight="1"/>
    <x:row r="114" ht="30" customHeight="1"/>
    <x:row r="115" ht="30" customHeight="1"/>
    <x:row r="116" ht="30" customHeight="1"/>
    <x:row r="117" ht="30" customHeight="1"/>
    <x:row r="118" ht="30" customHeight="1"/>
    <x:row r="119" ht="30" customHeight="1"/>
    <x:row r="120" ht="30" customHeight="1"/>
    <x:row r="121" ht="30" customHeight="1"/>
    <x:row r="122" ht="30" customHeight="1"/>
    <x:row r="123" ht="30" customHeight="1"/>
    <x:row r="124" ht="30" customHeight="1"/>
    <x:row r="125" ht="30" customHeight="1"/>
    <x:row r="126" ht="30" customHeight="1"/>
    <x:row r="127" ht="30" customHeight="1"/>
    <x:row r="128" ht="30" customHeight="1"/>
    <x:row r="129" ht="30" customHeight="1"/>
    <x:row r="130" ht="30" customHeight="1"/>
    <x:row r="131" ht="30" customHeight="1"/>
    <x:row r="132" ht="30" customHeight="1"/>
    <x:row r="133" ht="30" customHeight="1"/>
    <x:row r="134" ht="30" customHeight="1"/>
    <x:row r="135" ht="30" customHeight="1"/>
    <x:row r="136" ht="30" customHeight="1"/>
    <x:row r="137" ht="30" customHeight="1"/>
    <x:row r="138" ht="30" customHeight="1"/>
    <x:row r="139" ht="30" customHeight="1"/>
    <x:row r="140" ht="30" customHeight="1"/>
    <x:row r="141" ht="30" customHeight="1"/>
    <x:row r="142" ht="30" customHeight="1"/>
    <x:row r="143" ht="30" customHeight="1"/>
    <x:row r="144" ht="30" customHeight="1"/>
    <x:row r="145" ht="30" customHeight="1"/>
    <x:row r="146" ht="30" customHeight="1"/>
    <x:row r="147" ht="30" customHeight="1"/>
    <x:row r="148" ht="30" customHeight="1"/>
    <x:row r="149" ht="30" customHeight="1"/>
    <x:row r="150" ht="30" customHeight="1"/>
    <x:row r="151" ht="30" customHeight="1"/>
    <x:row r="152" ht="30" customHeight="1"/>
    <x:row r="153" ht="30" customHeight="1"/>
    <x:row r="154" ht="30" customHeight="1"/>
    <x:row r="155" ht="30" customHeight="1"/>
    <x:row r="156" ht="30" customHeight="1"/>
    <x:row r="157" ht="30" customHeight="1"/>
    <x:row r="158" ht="30" customHeight="1"/>
    <x:row r="159" ht="30" customHeight="1"/>
    <x:row r="160" ht="30" customHeight="1"/>
    <x:row r="161" ht="30" customHeight="1"/>
    <x:row r="162" ht="30" customHeight="1"/>
    <x:row r="163" ht="30" customHeight="1"/>
    <x:row r="164" ht="30" customHeight="1"/>
    <x:row r="165" ht="30" customHeight="1"/>
    <x:row r="166" ht="30" customHeight="1"/>
    <x:row r="167" ht="30" customHeight="1"/>
    <x:row r="168" ht="30" customHeight="1"/>
    <x:row r="169" ht="30" customHeight="1"/>
    <x:row r="170" ht="30" customHeight="1"/>
    <x:row r="171" ht="30" customHeight="1"/>
    <x:row r="172" ht="30" customHeight="1"/>
    <x:row r="173" ht="30" customHeight="1"/>
    <x:row r="174" ht="30" customHeight="1"/>
    <x:row r="175" ht="30" customHeight="1"/>
    <x:row r="176" ht="30" customHeight="1"/>
    <x:row r="177" ht="30" customHeight="1"/>
    <x:row r="178" ht="30" customHeight="1"/>
    <x:row r="179" ht="30" customHeight="1"/>
    <x:row r="180" ht="30" customHeight="1"/>
    <x:row r="181" ht="30" customHeight="1"/>
    <x:row r="182" ht="30" customHeight="1"/>
    <x:row r="183" ht="30" customHeight="1"/>
    <x:row r="184" ht="30" customHeight="1"/>
    <x:row r="185" ht="30" customHeight="1"/>
    <x:row r="186" ht="30" customHeight="1"/>
    <x:row r="187" ht="30" customHeight="1"/>
    <x:row r="188" ht="30" customHeight="1"/>
    <x:row r="189" ht="30" customHeight="1"/>
    <x:row r="190" ht="30" customHeight="1"/>
    <x:row r="191" ht="30" customHeight="1"/>
    <x:row r="192" ht="30" customHeight="1"/>
    <x:row r="193" ht="30" customHeight="1"/>
    <x:row r="194" ht="30" customHeight="1"/>
    <x:row r="195" ht="30" customHeight="1"/>
    <x:row r="196" ht="30" customHeight="1"/>
    <x:row r="197" ht="30" customHeight="1"/>
    <x:row r="198" ht="30" customHeight="1"/>
    <x:row r="199" ht="30" customHeight="1"/>
    <x:row r="200" ht="30" customHeight="1"/>
  </x:sheetData>
  <x:mergeCells>
    <x:mergeCell ref="A1:J1"/>
    <x:mergeCell ref="A2:J2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20" hidden="0" customWidth="1"/>
    <x:col min="4" max="4" width="8" hidden="0" customWidth="1"/>
    <x:col min="5" max="5" width="12" hidden="0" customWidth="1"/>
    <x:col min="6" max="6" width="13" hidden="0" customWidth="1"/>
    <x:col min="7" max="7" width="12" hidden="0" customWidth="1"/>
    <x:col min="8" max="8" width="13" hidden="0" customWidth="1"/>
    <x:col min="9" max="9" width="12" hidden="0" customWidth="1"/>
    <x:col min="10" max="10" width="9" hidden="0" customWidth="1"/>
    <x:col min="11" max="11" width="12" hidden="0" customWidth="1"/>
    <x:col min="12" max="12" width="8" hidden="0" customWidth="1"/>
    <x:col min="13" max="13" width="8" hidden="0" customWidth="1"/>
    <x:col min="14" max="14" width="8" hidden="0" customWidth="1"/>
    <x:col min="15" max="15" width="24" hidden="0" customWidth="1"/>
    <x:col min="16" max="16" width="18" hidden="0" customWidth="1"/>
    <x:col min="17" max="17" width="8" hidden="0" customWidth="1"/>
    <x:col min="18" max="18" width="28" hidden="0" customWidth="1"/>
    <x:col min="19" max="19" width="32" hidden="0" customWidth="1"/>
    <x:col min="20" max="20" width="30" hidden="0" customWidth="1"/>
    <x:col min="21" max="21" width="12" hidden="0" customWidth="1"/>
    <x:col min="22" max="22" width="14" hidden="0" customWidth="1"/>
    <x:col min="23" max="23" width="16" hidden="0" customWidth="1"/>
    <x:col min="24" max="24" width="14" hidden="0" customWidth="1"/>
    <x:col min="25" max="25" width="30" hidden="0" customWidth="1"/>
    <x:col min="26" max="26" width="10" hidden="0" customWidth="1"/>
    <x:col min="27" max="27" width="22" hidden="0" customWidth="1"/>
    <x:col min="28" max="28" width="42" hidden="0" customWidth="1"/>
    <x:col min="29" max="29" width="38" hidden="0" customWidth="1"/>
    <x:col min="30" max="30" width="48" hidden="0" customWidth="1"/>
    <x:col min="31" max="31" width="48" hidden="0" customWidth="1"/>
    <x:col min="32" max="32" width="50" hidden="0" customWidth="1"/>
  </x:cols>
  <x:sheetData>
    <x:row r="1" ht="52" customHeight="1">
      <x:c r="A1" s="18" t="str">
        <x:v>ID</x:v>
      </x:c>
      <x:c r="B1" s="18" t="str">
        <x:v>Titel</x:v>
      </x:c>
      <x:c r="C1" s="18" t="str">
        <x:v>Ort</x:v>
      </x:c>
      <x:c r="D1" s="18" t="str">
        <x:v>PLZ</x:v>
      </x:c>
      <x:c r="E1" s="18" t="str">
        <x:v>Bundesland</x:v>
      </x:c>
      <x:c r="F1" s="18" t="str">
        <x:v>Kaufpreis</x:v>
      </x:c>
      <x:c r="G1" s="18" t="str">
        <x:v>Wohnfläche m²</x:v>
      </x:c>
      <x:c r="H1" s="18" t="str">
        <x:v>Grundstück m²</x:v>
      </x:c>
      <x:c r="I1" s="18" t="str">
        <x:v>Preis €/m²</x:v>
      </x:c>
      <x:c r="J1" s="18" t="str">
        <x:v>Zimmer</x:v>
      </x:c>
      <x:c r="K1" s="18" t="str">
        <x:v>Schlafzimmer</x:v>
      </x:c>
      <x:c r="L1" s="18" t="str">
        <x:v>Bäder</x:v>
      </x:c>
      <x:c r="M1" s="18" t="str">
        <x:v>WCs</x:v>
      </x:c>
      <x:c r="N1" s="18" t="str">
        <x:v>Baujahr</x:v>
      </x:c>
      <x:c r="O1" s="18" t="str">
        <x:v>Typ</x:v>
      </x:c>
      <x:c r="P1" s="18" t="str">
        <x:v>Zustand</x:v>
      </x:c>
      <x:c r="Q1" s="18" t="str">
        <x:v>Etagen</x:v>
      </x:c>
      <x:c r="R1" s="18" t="str">
        <x:v>Stellplätze/Garage</x:v>
      </x:c>
      <x:c r="S1" s="18" t="str">
        <x:v>Energie</x:v>
      </x:c>
      <x:c r="T1" s="18" t="str">
        <x:v>Heizung</x:v>
      </x:c>
      <x:c r="U1" s="18" t="str">
        <x:v>Makler brutto %</x:v>
      </x:c>
      <x:c r="V1" s="18" t="str">
        <x:v>Kaufnebenkosten % grob</x:v>
      </x:c>
      <x:c r="W1" s="18" t="str">
        <x:v>Gesamtkosten grob</x:v>
      </x:c>
      <x:c r="X1" s="18" t="str">
        <x:v>Ø Fahrzeit min</x:v>
      </x:c>
      <x:c r="Y1" s="18" t="str">
        <x:v>Nächster Ski</x:v>
      </x:c>
      <x:c r="Z1" s="18" t="str">
        <x:v>Ski min</x:v>
      </x:c>
      <x:c r="AA1" s="18" t="str">
        <x:v>Ferien-/Tourismusstatus</x:v>
      </x:c>
      <x:c r="AB1" s="18" t="str">
        <x:v>Ferienhaus-Notiz</x:v>
      </x:c>
      <x:c r="AC1" s="18" t="str">
        <x:v>Einheiten/Nutzung</x:v>
      </x:c>
      <x:c r="AD1" s="18" t="str">
        <x:v>Highlights</x:v>
      </x:c>
      <x:c r="AE1" s="18" t="str">
        <x:v>Risiken / offene Punkte</x:v>
      </x:c>
      <x:c r="AF1" s="18" t="str">
        <x:v>Quelle</x:v>
      </x:c>
    </x:row>
    <x:row r="2" ht="30" customHeight="1">
      <x:c r="A2" s="10" t="str">
        <x:v>IS24-165475678</x:v>
      </x:c>
      <x:c r="B2" s="10" t="str">
        <x:v>Luxuriöses Traumhaus in Tirol (Neustift / Kampl)</x:v>
      </x:c>
      <x:c r="C2" s="10" t="str">
        <x:v>Telfes im Stubai / Stubaital</x:v>
      </x:c>
      <x:c r="D2" s="10" t="str">
        <x:v>6167</x:v>
      </x:c>
      <x:c r="E2" s="10" t="str">
        <x:v>Tirol</x:v>
      </x:c>
      <x:c r="F2" s="38" t="n">
        <x:v>1250000</x:v>
      </x:c>
      <x:c r="G2" s="43" t="n">
        <x:v>347.31</x:v>
      </x:c>
      <x:c r="H2" s="43" t="n">
        <x:v>475</x:v>
      </x:c>
      <x:c r="I2" s="38" t="n">
        <x:f>IFERROR(F2/G2,"")</x:f>
        <x:v>3599.0901500100777</x:v>
      </x:c>
      <x:c r="J2" s="10" t="n">
        <x:v>8</x:v>
      </x:c>
      <x:c r="K2" s="10"/>
      <x:c r="L2" s="10" t="n">
        <x:v>4</x:v>
      </x:c>
      <x:c r="M2" s="10" t="n">
        <x:v>4</x:v>
      </x:c>
      <x:c r="N2" s="10" t="n">
        <x:v>2009</x:v>
      </x:c>
      <x:c r="O2" s="10" t="str">
        <x:v>Einfamilienhaus, freistehend</x:v>
      </x:c>
      <x:c r="P2" s="10" t="str">
        <x:v>Gepflegt</x:v>
      </x:c>
      <x:c r="Q2" s="10" t="n">
        <x:v>3</x:v>
      </x:c>
      <x:c r="R2" s="10" t="str">
        <x:v>2 Stellplätze</x:v>
      </x:c>
      <x:c r="S2" s="10" t="str">
        <x:v>EA in Auftrag / keine Werte im Exposé</x:v>
      </x:c>
      <x:c r="T2" s="10" t="str">
        <x:v>nicht angegeben</x:v>
      </x:c>
      <x:c r="U2" s="45" t="n">
        <x:v>0.036</x:v>
      </x:c>
      <x:c r="V2" s="45" t="n">
        <x:v>0.1</x:v>
      </x:c>
      <x:c r="W2" s="38" t="n">
        <x:f>F2*(1+V2)</x:f>
        <x:v>1375000</x:v>
      </x:c>
      <x:c r="X2" s="40" t="n">
        <x:v>149.4</x:v>
      </x:c>
      <x:c r="Y2" s="10" t="str">
        <x:v>Serlesbahnen Mieders</x:v>
      </x:c>
      <x:c r="Z2" s="40" t="n">
        <x:v>6</x:v>
      </x:c>
      <x:c r="AA2" s="10" t="str">
        <x:v>Potenzial, nicht rechtsverbindlich bestätigt</x:v>
      </x:c>
      <x:c r="AB2" s="10" t="str">
        <x:v>Im Text werden zwei Einliegerwohnungen als Ferienwohnungen erwähnt; keine explizite Freizeitwohnsitz-/Ferienhausbewilligung ersichtlich.</x:v>
      </x:c>
      <x:c r="AC2" s="10" t="str">
        <x:v>Haupthaus + 2 kleine Einliegerwohnungen</x:v>
      </x:c>
      <x:c r="AD2" s="10" t="str">
        <x:v>Sehr groß; 4 Bäder; getrennte Einliegerwohnungen; Stubaital; Nachbargrundstück evtl. zusätzlich erwerbbar.</x:v>
      </x:c>
      <x:c r="AE2" s="10" t="str">
        <x:v>Hoher absoluter Kaufpreis; Energieausweis fehlt; Exposé-Ort/Titel wirken uneinheitlich; touristische Nutzung rechtlich prüfen.</x:v>
      </x:c>
      <x:c r="AF2" s="10" t="str">
        <x:v>https://www.immobilienscout24.de/expose/165475678</x:v>
      </x:c>
    </x:row>
    <x:row r="3" ht="30" customHeight="1">
      <x:c r="A3" s="10" t="str">
        <x:v>IS24-167388287</x:v>
      </x:c>
      <x:c r="B3" s="10" t="str">
        <x:v>Mehr-Generationenhaus mit viel Platz für Familien</x:v>
      </x:c>
      <x:c r="C3" s="10" t="str">
        <x:v>Flaurling</x:v>
      </x:c>
      <x:c r="D3" s="10" t="str">
        <x:v>6403</x:v>
      </x:c>
      <x:c r="E3" s="10" t="str">
        <x:v>Tirol</x:v>
      </x:c>
      <x:c r="F3" s="38" t="n">
        <x:v>850000</x:v>
      </x:c>
      <x:c r="G3" s="43" t="n">
        <x:v>602.66</x:v>
      </x:c>
      <x:c r="H3" s="43" t="n">
        <x:v>0</x:v>
      </x:c>
      <x:c r="I3" s="38" t="n">
        <x:f>IFERROR(F3/G3,"")</x:f>
        <x:v>1410.4138320114162</x:v>
      </x:c>
      <x:c r="J3" s="10"/>
      <x:c r="K3" s="10"/>
      <x:c r="L3" s="10"/>
      <x:c r="M3" s="10"/>
      <x:c r="N3" s="10"/>
      <x:c r="O3" s="10" t="str">
        <x:v>Mehrfamilienhaus</x:v>
      </x:c>
      <x:c r="P3" s="10" t="str">
        <x:v>Gepflegt</x:v>
      </x:c>
      <x:c r="Q3" s="10" t="n">
        <x:v>3</x:v>
      </x:c>
      <x:c r="R3" s="10" t="str">
        <x:v>nicht angegeben</x:v>
      </x:c>
      <x:c r="S3" s="10" t="str">
        <x:v>Energieausweis nicht vorgelegt</x:v>
      </x:c>
      <x:c r="T3" s="10" t="str">
        <x:v>Zentralheizung, Öl</x:v>
      </x:c>
      <x:c r="U3" s="45" t="n">
        <x:v>0.036</x:v>
      </x:c>
      <x:c r="V3" s="45" t="n">
        <x:v>0.1</x:v>
      </x:c>
      <x:c r="W3" s="38" t="n">
        <x:f>F3*(1+V3)</x:f>
        <x:v>935000.0000000001</x:v>
      </x:c>
      <x:c r="X3" s="40" t="n">
        <x:v>150</x:v>
      </x:c>
      <x:c r="Y3" s="10" t="str">
        <x:v>Rangger Köpfl</x:v>
      </x:c>
      <x:c r="Z3" s="40" t="n">
        <x:v>25</x:v>
      </x:c>
      <x:c r="AA3" s="10" t="str">
        <x:v>Nicht ersichtlich / prüfen</x:v>
      </x:c>
      <x:c r="AB3" s="10" t="str">
        <x:v>Großes Mehrgenerationenhaus mit abgetrennter 2-Zimmerwohnung; keine Ferienwohnungszulassung ersichtlich.</x:v>
      </x:c>
      <x:c r="AC3" s="10" t="str">
        <x:v>Mehrere Nutzungsoptionen, abgetrennte 2-Zimmerwohnung</x:v>
      </x:c>
      <x:c r="AD3" s="10" t="str">
        <x:v>Sehr viel Fläche; Garten laut Text; Dorfkernlage; gute Erreichbarkeit; mehrere Zugänge.</x:v>
      </x:c>
      <x:c r="AE3" s="10" t="str">
        <x:v>Grundstück im Exposé mit 0 m², offensichtlich klärungsbedürftig; Energieausweis fehlt; Zimmerzahl nicht sauber ausgewiesen.</x:v>
      </x:c>
      <x:c r="AF3" s="10" t="str">
        <x:v>https://www.immobilienscout24.de/expose/167388287</x:v>
      </x:c>
    </x:row>
    <x:row r="4" ht="30" customHeight="1">
      <x:c r="A4" s="10" t="str">
        <x:v>IS24AT-685e564</x:v>
      </x:c>
      <x:c r="B4" s="10" t="str">
        <x:v>Haus in Omes/Axams mit Garten, Garage und Bergblick</x:v>
      </x:c>
      <x:c r="C4" s="10" t="str">
        <x:v>Omes / Axams</x:v>
      </x:c>
      <x:c r="D4" s="10" t="str">
        <x:v>6094</x:v>
      </x:c>
      <x:c r="E4" s="10" t="str">
        <x:v>Tirol</x:v>
      </x:c>
      <x:c r="F4" s="38" t="n">
        <x:v>690000</x:v>
      </x:c>
      <x:c r="G4" s="43" t="n">
        <x:v>180</x:v>
      </x:c>
      <x:c r="H4" s="43" t="n">
        <x:v>594</x:v>
      </x:c>
      <x:c r="I4" s="38" t="n">
        <x:f>IFERROR(F4/G4,"")</x:f>
        <x:v>3833.3333333333335</x:v>
      </x:c>
      <x:c r="J4" s="10" t="n">
        <x:v>9</x:v>
      </x:c>
      <x:c r="K4" s="10"/>
      <x:c r="L4" s="10" t="n">
        <x:v>3</x:v>
      </x:c>
      <x:c r="M4" s="10" t="n">
        <x:v>4</x:v>
      </x:c>
      <x:c r="N4" s="10" t="n">
        <x:v>1988</x:v>
      </x:c>
      <x:c r="O4" s="10" t="str">
        <x:v>Einfamilienhaus, Altbau</x:v>
      </x:c>
      <x:c r="P4" s="10" t="str">
        <x:v>Renovierungsbedürftig</x:v>
      </x:c>
      <x:c r="Q4" s="10" t="n">
        <x:v>3</x:v>
      </x:c>
      <x:c r="R4" s="10" t="str">
        <x:v>1 Garage / Tiefgarage, 1 Parkmöglichkeit</x:v>
      </x:c>
      <x:c r="S4" s="10" t="str">
        <x:v>HWB 118,2 kWh/(m²a) E; fGEE 1,85 D</x:v>
      </x:c>
      <x:c r="T4" s="10" t="str">
        <x:v>Ofenheizung, Fußbodenheizung, Öl</x:v>
      </x:c>
      <x:c r="U4" s="45" t="n">
        <x:v>0.036</x:v>
      </x:c>
      <x:c r="V4" s="45" t="n">
        <x:v>0.1</x:v>
      </x:c>
      <x:c r="W4" s="38" t="n">
        <x:f>F4*(1+V4)</x:f>
        <x:v>759000.0000000001</x:v>
      </x:c>
      <x:c r="X4" s="40" t="n">
        <x:v>150</x:v>
      </x:c>
      <x:c r="Y4" s="10" t="str">
        <x:v>Axamer Lizum</x:v>
      </x:c>
      <x:c r="Z4" s="40" t="n">
        <x:v>18</x:v>
      </x:c>
      <x:c r="AA4" s="10" t="str">
        <x:v>Nicht ersichtlich / prüfen</x:v>
      </x:c>
      <x:c r="AB4" s="10" t="str">
        <x:v>Skifahren im Umfeld erwähnt, aber keine Ferienwohnungs-/Freizeitwohnsitz-Zulassung ersichtlich.</x:v>
      </x:c>
      <x:c r="AC4" s="10" t="str">
        <x:v>Einfamilienhaus, unterkellert</x:v>
      </x:c>
      <x:c r="AD4" s="10" t="str">
        <x:v>Nähe Innsbruck; Axams/Omes; 9 Zimmer; Bergblick; große Kellerfläche; aktuell preisreduziert.</x:v>
      </x:c>
      <x:c r="AE4" s="10" t="str">
        <x:v>Renovierungsbedürftig; Öl; Beschreibung enthält widersprüchlichen Preis 725.000 € vs. Inserat 690.000 €.</x:v>
      </x:c>
      <x:c r="AF4" s="10" t="str">
        <x:v>https://www.immobilienscout24.at/expose/685e564ad73668656ae2eabc</x:v>
      </x:c>
    </x:row>
    <x:row r="5" ht="30" customHeight="1">
      <x:c r="A5" s="10" t="str">
        <x:v>IS24AT-69f8a3</x:v>
      </x:c>
      <x:c r="B5" s="10" t="str">
        <x:v>Einfamilienhaus in Faggen – Wohnen mit Charme und Ausblick</x:v>
      </x:c>
      <x:c r="C5" s="10" t="str">
        <x:v>Faggen</x:v>
      </x:c>
      <x:c r="D5" s="10" t="str">
        <x:v>6525</x:v>
      </x:c>
      <x:c r="E5" s="10" t="str">
        <x:v>Tirol</x:v>
      </x:c>
      <x:c r="F5" s="38" t="n">
        <x:v>389000</x:v>
      </x:c>
      <x:c r="G5" s="43" t="n">
        <x:v>110</x:v>
      </x:c>
      <x:c r="H5" s="43" t="n">
        <x:v>199</x:v>
      </x:c>
      <x:c r="I5" s="38" t="n">
        <x:f>IFERROR(F5/G5,"")</x:f>
        <x:v>3536.3636363636365</x:v>
      </x:c>
      <x:c r="J5" s="10" t="n">
        <x:v>4</x:v>
      </x:c>
      <x:c r="K5" s="10" t="n">
        <x:v>3</x:v>
      </x:c>
      <x:c r="L5" s="10" t="n">
        <x:v>2</x:v>
      </x:c>
      <x:c r="M5" s="10" t="n">
        <x:v>1</x:v>
      </x:c>
      <x:c r="N5" s="10" t="n">
        <x:v>1982</x:v>
      </x:c>
      <x:c r="O5" s="10" t="str">
        <x:v>Einfamilienhaus</x:v>
      </x:c>
      <x:c r="P5" s="10" t="str">
        <x:v>nicht angegeben</x:v>
      </x:c>
      <x:c r="Q5" s="10"/>
      <x:c r="R5" s="10" t="str">
        <x:v>3 Parkplätze, 3 Garagen / Carport</x:v>
      </x:c>
      <x:c r="S5" s="10" t="str">
        <x:v>HWB 135 kWh/(m²a) D; fGEE 1,27 C</x:v>
      </x:c>
      <x:c r="T5" s="10" t="str">
        <x:v>Zentralheizung, Ofenheizung, Öl</x:v>
      </x:c>
      <x:c r="U5" s="45" t="n">
        <x:v>0.036</x:v>
      </x:c>
      <x:c r="V5" s="45" t="n">
        <x:v>0.1</x:v>
      </x:c>
      <x:c r="W5" s="38" t="n">
        <x:f>F5*(1+V5)</x:f>
        <x:v>427900.00000000006</x:v>
      </x:c>
      <x:c r="X5" s="40" t="n">
        <x:v>163</x:v>
      </x:c>
      <x:c r="Y5" s="10" t="str">
        <x:v>Serfaus-Fiss-Ladis / Fiss-Ladis Talstation</x:v>
      </x:c>
      <x:c r="Z5" s="40" t="n">
        <x:v>20</x:v>
      </x:c>
      <x:c r="AA5" s="10" t="str">
        <x:v>Nicht ersichtlich / prüfen</x:v>
      </x:c>
      <x:c r="AB5" s="10" t="str">
        <x:v>Keine Ferienhauszulassung ersichtlich; ruhige naturnahe Lage.</x:v>
      </x:c>
      <x:c r="AC5" s="10" t="str">
        <x:v>Einfamilienhaus</x:v>
      </x:c>
      <x:c r="AD5" s="10" t="str">
        <x:v>Niedriger Kaufpreis; 3 Schlafzimmer laut Text; viele Stellplätze/Garagen; Nähe Kaunertal/Serfaus-Fiss-Ladis.</x:v>
      </x:c>
      <x:c r="AE5" s="10" t="str">
        <x:v>Kleines Grundstück; Öl; eher klein für 6 Eigentümer; touristische Nutzung unklar.</x:v>
      </x:c>
      <x:c r="AF5" s="10" t="str">
        <x:v>https://www.immobilienscout24.at/expose/69f8a3a6897bd2a11f62cafa</x:v>
      </x:c>
    </x:row>
    <x:row r="6" ht="30" customHeight="1">
      <x:c r="A6" s="10" t="str">
        <x:v>IS24AT-69f2ef</x:v>
      </x:c>
      <x:c r="B6" s="10" t="str">
        <x:v>Waldchalet Pfunds – provisionsfrei</x:v>
      </x:c>
      <x:c r="C6" s="10" t="str">
        <x:v>Pfunds</x:v>
      </x:c>
      <x:c r="D6" s="10" t="str">
        <x:v>6542</x:v>
      </x:c>
      <x:c r="E6" s="10" t="str">
        <x:v>Tirol</x:v>
      </x:c>
      <x:c r="F6" s="38" t="n">
        <x:v>670000</x:v>
      </x:c>
      <x:c r="G6" s="43" t="n">
        <x:v>280</x:v>
      </x:c>
      <x:c r="H6" s="43" t="n">
        <x:v>1940</x:v>
      </x:c>
      <x:c r="I6" s="38" t="n">
        <x:f>IFERROR(F6/G6,"")</x:f>
        <x:v>2392.8571428571427</x:v>
      </x:c>
      <x:c r="J6" s="10" t="n">
        <x:v>6</x:v>
      </x:c>
      <x:c r="K6" s="10" t="n">
        <x:v>5</x:v>
      </x:c>
      <x:c r="L6" s="10" t="n">
        <x:v>2</x:v>
      </x:c>
      <x:c r="M6" s="10" t="n">
        <x:v>2</x:v>
      </x:c>
      <x:c r="N6" s="10" t="n">
        <x:v>1974</x:v>
      </x:c>
      <x:c r="O6" s="10" t="str">
        <x:v>Chalet / Sonstige</x:v>
      </x:c>
      <x:c r="P6" s="10" t="str">
        <x:v>Gepflegt</x:v>
      </x:c>
      <x:c r="Q6" s="10"/>
      <x:c r="R6" s="10" t="str">
        <x:v>Garage, 1 Parkmöglichkeit</x:v>
      </x:c>
      <x:c r="S6" s="10" t="str">
        <x:v>HWB 269 kWh/(m²a) G; fGEE 2,69 E</x:v>
      </x:c>
      <x:c r="T6" s="10" t="str">
        <x:v>Ofenheizung, Zentralheizung, Öl; Warmwasser-Wärmepumpe im Text</x:v>
      </x:c>
      <x:c r="U6" s="45" t="n">
        <x:v>0</x:v>
      </x:c>
      <x:c r="V6" s="45" t="n">
        <x:v>0.064</x:v>
      </x:c>
      <x:c r="W6" s="38" t="n">
        <x:f>F6*(1+V6)</x:f>
        <x:v>712880</x:v>
      </x:c>
      <x:c r="X6" s="40" t="n">
        <x:v>170</x:v>
      </x:c>
      <x:c r="Y6" s="10" t="str">
        <x:v>Nauders / Bergkastelbahn</x:v>
      </x:c>
      <x:c r="Z6" s="40" t="n">
        <x:v>20</x:v>
      </x:c>
      <x:c r="AA6" s="10" t="str">
        <x:v>Gute Grundlage, rechtlich prüfen</x:v>
      </x:c>
      <x:c r="AB6" s="10" t="str">
        <x:v>Widmung als Mischgebiet - Tourismusgebiet laut Exposé; ermöglicht touristische Betriebe/Einrichtungen, ersetzt aber keine Detailprüfung.</x:v>
      </x:c>
      <x:c r="AC6" s="10" t="str">
        <x:v>Chalet mit UG/EG/OG, Garage, Pool, großem Grundstück</x:v>
      </x:c>
      <x:c r="AD6" s="10" t="str">
        <x:v>Provisionsfrei; großes Grundstück; Tourismusgebiet-Widmung; Nähe Serfaus-Fiss-Ladis, Nauders, Samnaun/Ischgl; viel Nutzfläche.</x:v>
      </x:c>
      <x:c r="AE6" s="10" t="str">
        <x:v>Schlechter Energiekennwert; Öl; Baujahr 1974; Stellplatzanzahl klären; Investitionsbedarf energetisch möglich.</x:v>
      </x:c>
      <x:c r="AF6" s="10" t="str">
        <x:v>https://www.immobilienscout24.at/expose/69f2efdc897bd2a11f553783</x:v>
      </x:c>
    </x:row>
    <x:row r="7" ht="30" customHeight="1">
      <x:c r="A7" s="10" t="str">
        <x:v>IS24AT-68025d</x:v>
      </x:c>
      <x:c r="B7" s="10" t="str">
        <x:v>Über den Dächern von Ötz – Haus mit traumhafter Aussicht</x:v>
      </x:c>
      <x:c r="C7" s="10" t="str">
        <x:v>Oetz / Ötz</x:v>
      </x:c>
      <x:c r="D7" s="10" t="str">
        <x:v>6433</x:v>
      </x:c>
      <x:c r="E7" s="10" t="str">
        <x:v>Tirol</x:v>
      </x:c>
      <x:c r="F7" s="38" t="n">
        <x:v>420000</x:v>
      </x:c>
      <x:c r="G7" s="43" t="n">
        <x:v>114</x:v>
      </x:c>
      <x:c r="H7" s="43" t="n">
        <x:v>823</x:v>
      </x:c>
      <x:c r="I7" s="38" t="n">
        <x:f>IFERROR(F7/G7,"")</x:f>
        <x:v>3684.2105263157896</x:v>
      </x:c>
      <x:c r="J7" s="10" t="n">
        <x:v>4</x:v>
      </x:c>
      <x:c r="K7" s="10"/>
      <x:c r="L7" s="10" t="n">
        <x:v>2</x:v>
      </x:c>
      <x:c r="M7" s="10" t="n">
        <x:v>2</x:v>
      </x:c>
      <x:c r="N7" s="10" t="n">
        <x:v>1955</x:v>
      </x:c>
      <x:c r="O7" s="10" t="str">
        <x:v>Einfamilienhaus, 2 Wohneinheiten</x:v>
      </x:c>
      <x:c r="P7" s="10" t="str">
        <x:v>Gepflegt / laufend saniert</x:v>
      </x:c>
      <x:c r="Q7" s="10"/>
      <x:c r="R7" s="10" t="str">
        <x:v>nicht angegeben</x:v>
      </x:c>
      <x:c r="S7" s="10" t="str">
        <x:v>Energieausweis in Arbeit</x:v>
      </x:c>
      <x:c r="T7" s="10" t="str">
        <x:v>Zentralheizung, Ofenheizung, Gas</x:v>
      </x:c>
      <x:c r="U7" s="45" t="n">
        <x:v>0.036</x:v>
      </x:c>
      <x:c r="V7" s="45" t="n">
        <x:v>0.1</x:v>
      </x:c>
      <x:c r="W7" s="38" t="n">
        <x:f>F7*(1+V7)</x:f>
        <x:v>462000.00000000006</x:v>
      </x:c>
      <x:c r="X7" s="40" t="n">
        <x:v>151</x:v>
      </x:c>
      <x:c r="Y7" s="10" t="str">
        <x:v>Hochoetz / Acherkogelbahn</x:v>
      </x:c>
      <x:c r="Z7" s="40" t="n">
        <x:v>4</x:v>
      </x:c>
      <x:c r="AA7" s="10" t="str">
        <x:v>Potenzial, prüfen</x:v>
      </x:c>
      <x:c r="AB7" s="10" t="str">
        <x:v>Derzeit wird eine Wohnung als Ferienwohnung vermietet; genaue Bewilligung/Rechtslage prüfen.</x:v>
      </x:c>
      <x:c r="AC7" s="10" t="str">
        <x:v>2 Wohneinheiten ca. 52 m² und 62 m²</x:v>
      </x:c>
      <x:c r="AD7" s="10" t="str">
        <x:v>Niedriger Preis; großer Grund; zwei Einheiten; Ferienwohnung bereits genutzt; Nähe Hochoetz.</x:v>
      </x:c>
      <x:c r="AE7" s="10" t="str">
        <x:v>Nur 114 m² Wohnfläche; Baujahr 1955; Gas/Ofen; Energieausweis offen; für 6 Eigentümer wahrscheinlich eng.</x:v>
      </x:c>
      <x:c r="AF7" s="10" t="str">
        <x:v>https://www.immobilienscout24.at/expose/68025de59f5f64b9788cf711</x:v>
      </x:c>
    </x:row>
    <x:row r="8" ht="30" customHeight="1">
      <x:c r="A8" s="10" t="str">
        <x:v>IS24AT-68d0d9</x:v>
      </x:c>
      <x:c r="B8" s="10" t="str">
        <x:v>Familienglück mit Panoramablick – Haus im vorderen Ötztal</x:v>
      </x:c>
      <x:c r="C8" s="10" t="str">
        <x:v>Ötz / Taxegg</x:v>
      </x:c>
      <x:c r="D8" s="10" t="str">
        <x:v>6433</x:v>
      </x:c>
      <x:c r="E8" s="10" t="str">
        <x:v>Tirol</x:v>
      </x:c>
      <x:c r="F8" s="38" t="n">
        <x:v>599000</x:v>
      </x:c>
      <x:c r="G8" s="43" t="n">
        <x:v>166.01</x:v>
      </x:c>
      <x:c r="H8" s="43" t="n">
        <x:v>348</x:v>
      </x:c>
      <x:c r="I8" s="38" t="n">
        <x:f>IFERROR(F8/G8,"")</x:f>
        <x:v>3608.2163725076803</x:v>
      </x:c>
      <x:c r="J8" s="10" t="n">
        <x:v>5</x:v>
      </x:c>
      <x:c r="K8" s="10" t="n">
        <x:v>4</x:v>
      </x:c>
      <x:c r="L8" s="10" t="n">
        <x:v>2</x:v>
      </x:c>
      <x:c r="M8" s="10" t="n">
        <x:v>2</x:v>
      </x:c>
      <x:c r="N8" s="10" t="n">
        <x:v>1996</x:v>
      </x:c>
      <x:c r="O8" s="10" t="str">
        <x:v>Doppelhaushälfte</x:v>
      </x:c>
      <x:c r="P8" s="10" t="str">
        <x:v>Gepflegt</x:v>
      </x:c>
      <x:c r="Q8" s="10" t="n">
        <x:v>3</x:v>
      </x:c>
      <x:c r="R8" s="10" t="str">
        <x:v>4 Parkplätze, 1 Garage, 5 Parkmöglichkeiten</x:v>
      </x:c>
      <x:c r="S8" s="10" t="str">
        <x:v>HWB 128 kWh/(m²a) D; fGEE 1,28 C</x:v>
      </x:c>
      <x:c r="T8" s="10" t="str">
        <x:v>Zentralheizung, Ofen, Fußbodenheizung, Öl, Solar</x:v>
      </x:c>
      <x:c r="U8" s="45" t="n">
        <x:v>0.036</x:v>
      </x:c>
      <x:c r="V8" s="45" t="n">
        <x:v>0.1</x:v>
      </x:c>
      <x:c r="W8" s="38" t="n">
        <x:f>F8*(1+V8)</x:f>
        <x:v>658900</x:v>
      </x:c>
      <x:c r="X8" s="40" t="n">
        <x:v>151</x:v>
      </x:c>
      <x:c r="Y8" s="10" t="str">
        <x:v>Hochoetz / Acherkogelbahn</x:v>
      </x:c>
      <x:c r="Z8" s="40" t="n">
        <x:v>8</x:v>
      </x:c>
      <x:c r="AA8" s="10" t="str">
        <x:v>Nicht ersichtlich / prüfen</x:v>
      </x:c>
      <x:c r="AB8" s="10" t="str">
        <x:v>Lage bei Hochoetz; keine explizite Ferienwohnungszulassung ersichtlich.</x:v>
      </x:c>
      <x:c r="AC8" s="10" t="str">
        <x:v>Doppelhaushälfte, Keller, 3 Etagen</x:v>
      </x:c>
      <x:c r="AD8" s="10" t="str">
        <x:v>4 Schlafzimmer; ordentliche Stellplatzsituation; Nähe Hochoetz; guter Familiengrundriss.</x:v>
      </x:c>
      <x:c r="AE8" s="10" t="str">
        <x:v>Doppelhaushälfte; kleines Grundstück; Öl; touristische Nutzung unklar.</x:v>
      </x:c>
      <x:c r="AF8" s="10" t="str">
        <x:v>https://www.immobilienscout24.at/expose/68d0d9ebf233102b247ca274</x:v>
      </x:c>
    </x:row>
    <x:row r="9" ht="30" customHeight="1">
      <x:c r="A9" s="10" t="str">
        <x:v>IS24AT-669a65</x:v>
      </x:c>
      <x:c r="B9" s="10" t="str">
        <x:v>Wohnhaus am Eingang des Ötztals</x:v>
      </x:c>
      <x:c r="C9" s="10" t="str">
        <x:v>Sautens</x:v>
      </x:c>
      <x:c r="D9" s="10" t="str">
        <x:v>6432</x:v>
      </x:c>
      <x:c r="E9" s="10" t="str">
        <x:v>Tirol</x:v>
      </x:c>
      <x:c r="F9" s="38" t="n">
        <x:v>595000</x:v>
      </x:c>
      <x:c r="G9" s="43" t="n">
        <x:v>235</x:v>
      </x:c>
      <x:c r="H9" s="43" t="n">
        <x:v>865</x:v>
      </x:c>
      <x:c r="I9" s="38" t="n">
        <x:f>IFERROR(F9/G9,"")</x:f>
        <x:v>2531.9148936170213</x:v>
      </x:c>
      <x:c r="J9" s="10" t="n">
        <x:v>10</x:v>
      </x:c>
      <x:c r="K9" s="10" t="n">
        <x:v>3</x:v>
      </x:c>
      <x:c r="L9" s="10" t="n">
        <x:v>3</x:v>
      </x:c>
      <x:c r="M9" s="10" t="n">
        <x:v>3</x:v>
      </x:c>
      <x:c r="N9" s="10"/>
      <x:c r="O9" s="10" t="str">
        <x:v>Einfamilienhaus / 3 Wohneinheiten</x:v>
      </x:c>
      <x:c r="P9" s="10" t="str">
        <x:v>Gepflegt / laufend saniert</x:v>
      </x:c>
      <x:c r="Q9" s="10" t="n">
        <x:v>3</x:v>
      </x:c>
      <x:c r="R9" s="10" t="str">
        <x:v>1 Garage, 1 Parkmöglichkeit; Text: Doppelgarage + weitere Abstellmöglichkeiten</x:v>
      </x:c>
      <x:c r="S9" s="10" t="str">
        <x:v>Energieausweis in Arbeit</x:v>
      </x:c>
      <x:c r="T9" s="10" t="str">
        <x:v>Zentralheizung, Pellet</x:v>
      </x:c>
      <x:c r="U9" s="45" t="n">
        <x:v>0.036</x:v>
      </x:c>
      <x:c r="V9" s="45" t="n">
        <x:v>0.1</x:v>
      </x:c>
      <x:c r="W9" s="38" t="n">
        <x:f>F9*(1+V9)</x:f>
        <x:v>654500</x:v>
      </x:c>
      <x:c r="X9" s="40" t="n">
        <x:v>146</x:v>
      </x:c>
      <x:c r="Y9" s="10" t="str">
        <x:v>Hochoetz / Acherkogelbahn</x:v>
      </x:c>
      <x:c r="Z9" s="40" t="n">
        <x:v>8</x:v>
      </x:c>
      <x:c r="AA9" s="10" t="str">
        <x:v>Potenzial, prüfen</x:v>
      </x:c>
      <x:c r="AB9" s="10" t="str">
        <x:v>Text: Interessant zur Vermietung von Ferienwohnungen; 3 Wohneinheiten, davon eine mit Wohnrecht.</x:v>
      </x:c>
      <x:c r="AC9" s="10" t="str">
        <x:v>3 Wohneinheiten: EG ca. 100 m², 1. OG ca. 70 m², 2. OG ca. 65 m² mit Wohnrecht</x:v>
      </x:c>
      <x:c r="AD9" s="10" t="str">
        <x:v>235 m²; 10 Zimmer; 3 Einheiten; Pelletheizung; Garten/Pool; Nähe Hochoetz/Ötztal; Vermietungspotenzial erwähnt.</x:v>
      </x:c>
      <x:c r="AE9" s="10" t="str">
        <x:v>Wohnrecht im 2. OG explizit erwähnt; Stellplatzangaben widersprüchlich; Energieausweis offen; Baujahr fehlt.</x:v>
      </x:c>
      <x:c r="AF9" s="10" t="str">
        <x:v>https://www.immobilienscout24.at/expose/669a6591f711f5bf07edbac8</x:v>
      </x:c>
    </x:row>
    <x:row r="10" ht="30" customHeight="1"/>
    <x:row r="11" ht="30" customHeight="1"/>
    <x:row r="12" ht="30" customHeight="1"/>
    <x:row r="13" ht="30" customHeight="1"/>
    <x:row r="14" ht="30" customHeight="1"/>
    <x:row r="15" ht="30" customHeight="1"/>
    <x:row r="16" ht="30" customHeight="1"/>
    <x:row r="17" ht="30" customHeight="1"/>
    <x:row r="18" ht="30" customHeight="1"/>
    <x:row r="19" ht="30" customHeight="1"/>
    <x:row r="20" ht="30" customHeight="1"/>
    <x:row r="21" ht="30" customHeight="1"/>
    <x:row r="22" ht="30" customHeight="1"/>
    <x:row r="23" ht="30" customHeight="1"/>
    <x:row r="24" ht="30" customHeight="1"/>
    <x:row r="25" ht="30" customHeight="1"/>
    <x:row r="26" ht="30" customHeight="1"/>
    <x:row r="27" ht="30" customHeight="1"/>
    <x:row r="28" ht="30" customHeight="1"/>
    <x:row r="29" ht="30" customHeight="1"/>
    <x:row r="30" ht="30" customHeight="1"/>
    <x:row r="31" ht="30" customHeight="1"/>
    <x:row r="32" ht="30" customHeight="1"/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  <x:row r="41" ht="30" customHeight="1"/>
    <x:row r="42" ht="30" customHeight="1"/>
    <x:row r="43" ht="30" customHeight="1"/>
    <x:row r="44" ht="30" customHeight="1"/>
    <x:row r="45" ht="30" customHeight="1"/>
    <x:row r="46" ht="30" customHeight="1"/>
    <x:row r="47" ht="30" customHeight="1"/>
    <x:row r="48" ht="30" customHeight="1"/>
    <x:row r="49" ht="30" customHeight="1"/>
    <x:row r="50" ht="30" customHeight="1"/>
    <x:row r="51" ht="30" customHeight="1"/>
    <x:row r="52" ht="30" customHeight="1"/>
    <x:row r="53" ht="30" customHeight="1"/>
    <x:row r="54" ht="30" customHeight="1"/>
    <x:row r="55" ht="30" customHeight="1"/>
    <x:row r="56" ht="30" customHeight="1"/>
    <x:row r="57" ht="30" customHeight="1"/>
    <x:row r="58" ht="30" customHeight="1"/>
    <x:row r="59" ht="30" customHeight="1"/>
    <x:row r="60" ht="30" customHeight="1"/>
    <x:row r="61" ht="30" customHeight="1"/>
    <x:row r="62" ht="30" customHeight="1"/>
    <x:row r="63" ht="30" customHeight="1"/>
    <x:row r="64" ht="30" customHeight="1"/>
    <x:row r="65" ht="30" customHeight="1"/>
    <x:row r="66" ht="30" customHeight="1"/>
    <x:row r="67" ht="30" customHeight="1"/>
    <x:row r="68" ht="30" customHeight="1"/>
    <x:row r="69" ht="30" customHeight="1"/>
    <x:row r="70" ht="30" customHeight="1"/>
    <x:row r="71" ht="30" customHeight="1"/>
    <x:row r="72" ht="30" customHeight="1"/>
    <x:row r="73" ht="30" customHeight="1"/>
    <x:row r="74" ht="30" customHeight="1"/>
    <x:row r="75" ht="30" customHeight="1"/>
    <x:row r="76" ht="30" customHeight="1"/>
    <x:row r="77" ht="30" customHeight="1"/>
    <x:row r="78" ht="30" customHeight="1"/>
    <x:row r="79" ht="30" customHeight="1"/>
    <x:row r="80" ht="30" customHeight="1"/>
    <x:row r="81" ht="30" customHeight="1"/>
    <x:row r="82" ht="30" customHeight="1"/>
    <x:row r="83" ht="30" customHeight="1"/>
    <x:row r="84" ht="30" customHeight="1"/>
    <x:row r="85" ht="30" customHeight="1"/>
    <x:row r="86" ht="30" customHeight="1"/>
    <x:row r="87" ht="30" customHeight="1"/>
    <x:row r="88" ht="30" customHeight="1"/>
    <x:row r="89" ht="30" customHeight="1"/>
    <x:row r="90" ht="30" customHeight="1"/>
    <x:row r="91" ht="30" customHeight="1"/>
    <x:row r="92" ht="30" customHeight="1"/>
    <x:row r="93" ht="30" customHeight="1"/>
    <x:row r="94" ht="30" customHeight="1"/>
    <x:row r="95" ht="30" customHeight="1"/>
    <x:row r="96" ht="30" customHeight="1"/>
    <x:row r="97" ht="30" customHeight="1"/>
    <x:row r="98" ht="30" customHeight="1"/>
    <x:row r="99" ht="30" customHeight="1"/>
    <x:row r="100" ht="30" customHeight="1"/>
    <x:row r="101" ht="30" customHeight="1"/>
    <x:row r="102" ht="30" customHeight="1"/>
    <x:row r="103" ht="30" customHeight="1"/>
    <x:row r="104" ht="30" customHeight="1"/>
    <x:row r="105" ht="30" customHeight="1"/>
    <x:row r="106" ht="30" customHeight="1"/>
    <x:row r="107" ht="30" customHeight="1"/>
    <x:row r="108" ht="30" customHeight="1"/>
    <x:row r="109" ht="30" customHeight="1"/>
    <x:row r="110" ht="30" customHeight="1"/>
    <x:row r="111" ht="30" customHeight="1"/>
    <x:row r="112" ht="30" customHeight="1"/>
    <x:row r="113" ht="30" customHeight="1"/>
    <x:row r="114" ht="30" customHeight="1"/>
    <x:row r="115" ht="30" customHeight="1"/>
    <x:row r="116" ht="30" customHeight="1"/>
    <x:row r="117" ht="30" customHeight="1"/>
    <x:row r="118" ht="30" customHeight="1"/>
    <x:row r="119" ht="30" customHeight="1"/>
    <x:row r="120" ht="30" customHeight="1"/>
    <x:row r="121" ht="30" customHeight="1"/>
    <x:row r="122" ht="30" customHeight="1"/>
    <x:row r="123" ht="30" customHeight="1"/>
    <x:row r="124" ht="30" customHeight="1"/>
    <x:row r="125" ht="30" customHeight="1"/>
    <x:row r="126" ht="30" customHeight="1"/>
    <x:row r="127" ht="30" customHeight="1"/>
    <x:row r="128" ht="30" customHeight="1"/>
    <x:row r="129" ht="30" customHeight="1"/>
    <x:row r="130" ht="30" customHeight="1"/>
    <x:row r="131" ht="30" customHeight="1"/>
    <x:row r="132" ht="30" customHeight="1"/>
    <x:row r="133" ht="30" customHeight="1"/>
    <x:row r="134" ht="30" customHeight="1"/>
    <x:row r="135" ht="30" customHeight="1"/>
    <x:row r="136" ht="30" customHeight="1"/>
    <x:row r="137" ht="30" customHeight="1"/>
    <x:row r="138" ht="30" customHeight="1"/>
    <x:row r="139" ht="30" customHeight="1"/>
    <x:row r="140" ht="30" customHeight="1"/>
    <x:row r="141" ht="30" customHeight="1"/>
    <x:row r="142" ht="30" customHeight="1"/>
    <x:row r="143" ht="30" customHeight="1"/>
    <x:row r="144" ht="30" customHeight="1"/>
    <x:row r="145" ht="30" customHeight="1"/>
    <x:row r="146" ht="30" customHeight="1"/>
    <x:row r="147" ht="30" customHeight="1"/>
    <x:row r="148" ht="30" customHeight="1"/>
    <x:row r="149" ht="30" customHeight="1"/>
    <x:row r="150" ht="30" customHeight="1"/>
    <x:row r="151" ht="30" customHeight="1"/>
    <x:row r="152" ht="30" customHeight="1"/>
    <x:row r="153" ht="30" customHeight="1"/>
    <x:row r="154" ht="30" customHeight="1"/>
    <x:row r="155" ht="30" customHeight="1"/>
    <x:row r="156" ht="30" customHeight="1"/>
    <x:row r="157" ht="30" customHeight="1"/>
    <x:row r="158" ht="30" customHeight="1"/>
    <x:row r="159" ht="30" customHeight="1"/>
    <x:row r="160" ht="30" customHeight="1"/>
    <x:row r="161" ht="30" customHeight="1"/>
    <x:row r="162" ht="30" customHeight="1"/>
    <x:row r="163" ht="30" customHeight="1"/>
    <x:row r="164" ht="30" customHeight="1"/>
    <x:row r="165" ht="30" customHeight="1"/>
    <x:row r="166" ht="30" customHeight="1"/>
    <x:row r="167" ht="30" customHeight="1"/>
    <x:row r="168" ht="30" customHeight="1"/>
    <x:row r="169" ht="30" customHeight="1"/>
    <x:row r="170" ht="30" customHeight="1"/>
    <x:row r="171" ht="30" customHeight="1"/>
    <x:row r="172" ht="30" customHeight="1"/>
    <x:row r="173" ht="30" customHeight="1"/>
    <x:row r="174" ht="30" customHeight="1"/>
    <x:row r="175" ht="30" customHeight="1"/>
    <x:row r="176" ht="30" customHeight="1"/>
    <x:row r="177" ht="30" customHeight="1"/>
    <x:row r="178" ht="30" customHeight="1"/>
    <x:row r="179" ht="30" customHeight="1"/>
    <x:row r="180" ht="30" customHeight="1"/>
    <x:row r="181" ht="30" customHeight="1"/>
    <x:row r="182" ht="30" customHeight="1"/>
    <x:row r="183" ht="30" customHeight="1"/>
    <x:row r="184" ht="30" customHeight="1"/>
    <x:row r="185" ht="30" customHeight="1"/>
    <x:row r="186" ht="30" customHeight="1"/>
    <x:row r="187" ht="30" customHeight="1"/>
    <x:row r="188" ht="30" customHeight="1"/>
    <x:row r="189" ht="30" customHeight="1"/>
    <x:row r="190" ht="30" customHeight="1"/>
    <x:row r="191" ht="30" customHeight="1"/>
    <x:row r="192" ht="30" customHeight="1"/>
    <x:row r="193" ht="30" customHeight="1"/>
    <x:row r="194" ht="30" customHeight="1"/>
    <x:row r="195" ht="30" customHeight="1"/>
    <x:row r="196" ht="30" customHeight="1"/>
    <x:row r="197" ht="30" customHeight="1"/>
    <x:row r="198" ht="30" customHeight="1"/>
    <x:row r="199" ht="30" customHeight="1"/>
    <x:row r="200" ht="30" customHeight="1"/>
  </x:sheetData>
  <x:conditionalFormatting sqref="I2:I9">
    <x:cfRule type="colorScale" priority="1">
      <x:colorScale>
        <x:cfvo type="min"/>
        <x:cfvo type="percentile" val="50"/>
        <x:cfvo type="max"/>
        <x:color rgb="D9EAD3"/>
        <x:color rgb="FFF2CC"/>
        <x:color rgb="F4CCCC"/>
      </x:colorScale>
    </x:cfRule>
  </x:conditionalFormatting>
  <x:conditionalFormatting sqref="X2:X9">
    <x:cfRule type="colorScale" priority="2">
      <x:colorScale>
        <x:cfvo type="min"/>
        <x:cfvo type="percentile" val="50"/>
        <x:cfvo type="max"/>
        <x:color rgb="D9EAD3"/>
        <x:color rgb="FFF2CC"/>
        <x:color rgb="F4CCCC"/>
      </x:colorScale>
    </x:cfRule>
  </x:conditionalFormatting>
  <x:conditionalFormatting sqref="Z2:Z9">
    <x:cfRule type="colorScale" priority="3">
      <x:colorScale>
        <x:cfvo type="min"/>
        <x:cfvo type="percentile" val="50"/>
        <x:cfvo type="max"/>
        <x:color rgb="D9EAD3"/>
        <x:color rgb="FFF2CC"/>
        <x:color rgb="F4CCCC"/>
      </x:colorScale>
    </x:cfRule>
  </x:conditionalFormatting>
  <x:conditionalFormatting sqref="AA2:AA9">
    <x:cfRule type="expression" dxfId="0" priority="4">
      <x:formula>ISNUMBER(SEARCH("Gute",AA2))</x:formula>
    </x:cfRule>
    <x:cfRule type="expression" dxfId="1" priority="5">
      <x:formula>ISNUMBER(SEARCH("Potenzial",AA2))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5c65240b85543e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920000076293945" hidden="0" customWidth="1"/>
    <x:col min="2" max="2" width="36" hidden="0" customWidth="1"/>
    <x:col min="3" max="3" width="21.1299991607666" hidden="0" customWidth="1"/>
    <x:col min="4" max="4" width="18.170000076293945" hidden="0" customWidth="1"/>
    <x:col min="5" max="5" width="14.539999961853027" hidden="0" customWidth="1"/>
    <x:col min="6" max="6" width="16.290000915527344" hidden="0" customWidth="1"/>
    <x:col min="7" max="7" width="60" hidden="0" customWidth="1"/>
    <x:col min="8" max="8" width="34" hidden="0" customWidth="1"/>
  </x:cols>
  <x:sheetData>
    <x:row r="1" ht="42" customHeight="1">
      <x:c r="A1" s="18" t="str">
        <x:v>ID</x:v>
      </x:c>
      <x:c r="B1" s="18" t="str">
        <x:v>Objekt</x:v>
      </x:c>
      <x:c r="C1" s="18" t="str">
        <x:v>Zielort</x:v>
      </x:c>
      <x:c r="D1" s="18" t="str">
        <x:v>Start</x:v>
      </x:c>
      <x:c r="E1" s="18" t="str">
        <x:v>Auto-Fahrzeit min</x:v>
      </x:c>
      <x:c r="F1" s="18" t="str">
        <x:v>Auto-Fahrzeit h:mm</x:v>
      </x:c>
      <x:c r="G1" s="18" t="str">
        <x:v>Google Maps Prüflink</x:v>
      </x:c>
      <x:c r="H1" s="18" t="str">
        <x:v>Datenqualität</x:v>
      </x:c>
    </x:row>
    <x:row r="2" ht="30" customHeight="1">
      <x:c r="A2" s="10" t="str">
        <x:v>IS24-165475678</x:v>
      </x:c>
      <x:c r="B2" s="10" t="str">
        <x:v>Luxuriöses Traumhaus in Tirol (Neustift / Kampl)</x:v>
      </x:c>
      <x:c r="C2" s="10" t="str">
        <x:v>Telfes im Stubai / Stubaital</x:v>
      </x:c>
      <x:c r="D2" s="10" t="str">
        <x:v>Esslingen am Neckar</x:v>
      </x:c>
      <x:c r="E2" s="40" t="n">
        <x:v>230</x:v>
      </x:c>
      <x:c r="F2" s="10" t="str">
        <x:f>TEXT(E2/1440,"[h]:mm")</x:f>
        <x:v>3:50</x:v>
      </x:c>
      <x:c r="G2" s="10" t="str">
        <x:v>https://www.google.com/maps/dir/?api=1&amp;origin=Esslingen+am+Neckar&amp;destination=Telfes+im+Stubai+%2F+Stubaital%2C+%C3%96sterreich&amp;travelmode=driving</x:v>
      </x:c>
      <x:c r="H2" s="10" t="str">
        <x:v>Schätzung; vor Kauf mit Google Maps prüfen</x:v>
      </x:c>
    </x:row>
    <x:row r="3" ht="30" customHeight="1">
      <x:c r="A3" s="10" t="str">
        <x:v>IS24-165475678</x:v>
      </x:c>
      <x:c r="B3" s="10" t="str">
        <x:v>Luxuriöses Traumhaus in Tirol (Neustift / Kampl)</x:v>
      </x:c>
      <x:c r="C3" s="10" t="str">
        <x:v>Telfes im Stubai / Stubaital</x:v>
      </x:c>
      <x:c r="D3" s="10" t="str">
        <x:v>München</x:v>
      </x:c>
      <x:c r="E3" s="40" t="n">
        <x:v>105</x:v>
      </x:c>
      <x:c r="F3" s="10" t="str">
        <x:f>TEXT(E3/1440,"[h]:mm")</x:f>
        <x:v>1:45</x:v>
      </x:c>
      <x:c r="G3" s="10" t="str">
        <x:v>https://www.google.com/maps/dir/?api=1&amp;origin=M%C3%BCnchen&amp;destination=Telfes+im+Stubai+%2F+Stubaital%2C+%C3%96sterreich&amp;travelmode=driving</x:v>
      </x:c>
      <x:c r="H3" s="10" t="str">
        <x:v>Schätzung; vor Kauf mit Google Maps prüfen</x:v>
      </x:c>
    </x:row>
    <x:row r="4" ht="30" customHeight="1">
      <x:c r="A4" s="10" t="str">
        <x:v>IS24-165475678</x:v>
      </x:c>
      <x:c r="B4" s="10" t="str">
        <x:v>Luxuriöses Traumhaus in Tirol (Neustift / Kampl)</x:v>
      </x:c>
      <x:c r="C4" s="10" t="str">
        <x:v>Telfes im Stubai / Stubaital</x:v>
      </x:c>
      <x:c r="D4" s="10" t="str">
        <x:v>Neuburg an der Donau</x:v>
      </x:c>
      <x:c r="E4" s="40" t="n">
        <x:v>165</x:v>
      </x:c>
      <x:c r="F4" s="10" t="str">
        <x:f>TEXT(E4/1440,"[h]:mm")</x:f>
        <x:v>2:45</x:v>
      </x:c>
      <x:c r="G4" s="10" t="str">
        <x:v>https://www.google.com/maps/dir/?api=1&amp;origin=Neuburg+an+der+Donau&amp;destination=Telfes+im+Stubai+%2F+Stubaital%2C+%C3%96sterreich&amp;travelmode=driving</x:v>
      </x:c>
      <x:c r="H4" s="10" t="str">
        <x:v>Schätzung; vor Kauf mit Google Maps prüfen</x:v>
      </x:c>
    </x:row>
    <x:row r="5" ht="30" customHeight="1">
      <x:c r="A5" s="10" t="str">
        <x:v>IS24-165475678</x:v>
      </x:c>
      <x:c r="B5" s="10" t="str">
        <x:v>Luxuriöses Traumhaus in Tirol (Neustift / Kampl)</x:v>
      </x:c>
      <x:c r="C5" s="10" t="str">
        <x:v>Telfes im Stubai / Stubaital</x:v>
      </x:c>
      <x:c r="D5" s="10" t="str">
        <x:v>Hinwil CH</x:v>
      </x:c>
      <x:c r="E5" s="40" t="n">
        <x:v>230</x:v>
      </x:c>
      <x:c r="F5" s="10" t="str">
        <x:f>TEXT(E5/1440,"[h]:mm")</x:f>
        <x:v>3:50</x:v>
      </x:c>
      <x:c r="G5" s="10" t="str">
        <x:v>https://www.google.com/maps/dir/?api=1&amp;origin=Hinwil+CH&amp;destination=Telfes+im+Stubai+%2F+Stubaital%2C+%C3%96sterreich&amp;travelmode=driving</x:v>
      </x:c>
      <x:c r="H5" s="10" t="str">
        <x:v>Schätzung; vor Kauf mit Google Maps prüfen</x:v>
      </x:c>
    </x:row>
    <x:row r="6" ht="30" customHeight="1">
      <x:c r="A6" s="10" t="str">
        <x:v>IS24-165475678</x:v>
      </x:c>
      <x:c r="B6" s="10" t="str">
        <x:v>Luxuriöses Traumhaus in Tirol (Neustift / Kampl)</x:v>
      </x:c>
      <x:c r="C6" s="10" t="str">
        <x:v>Telfes im Stubai / Stubaital</x:v>
      </x:c>
      <x:c r="D6" s="10" t="str">
        <x:v>Innsbruck</x:v>
      </x:c>
      <x:c r="E6" s="40" t="n">
        <x:v>17</x:v>
      </x:c>
      <x:c r="F6" s="10" t="str">
        <x:f>TEXT(E6/1440,"[h]:mm")</x:f>
        <x:v>0:17</x:v>
      </x:c>
      <x:c r="G6" s="10" t="str">
        <x:v>https://www.google.com/maps/dir/?api=1&amp;origin=Innsbruck&amp;destination=Telfes+im+Stubai+%2F+Stubaital%2C+%C3%96sterreich&amp;travelmode=driving</x:v>
      </x:c>
      <x:c r="H6" s="10" t="str">
        <x:v>Schätzung; vor Kauf mit Google Maps prüfen</x:v>
      </x:c>
    </x:row>
    <x:row r="7" ht="30" customHeight="1">
      <x:c r="A7" s="10" t="str">
        <x:v>IS24-167388287</x:v>
      </x:c>
      <x:c r="B7" s="10" t="str">
        <x:v>Mehr-Generationenhaus mit viel Platz für Familien</x:v>
      </x:c>
      <x:c r="C7" s="10" t="str">
        <x:v>Flaurling</x:v>
      </x:c>
      <x:c r="D7" s="10" t="str">
        <x:v>Esslingen am Neckar</x:v>
      </x:c>
      <x:c r="E7" s="40" t="n">
        <x:v>220</x:v>
      </x:c>
      <x:c r="F7" s="10" t="str">
        <x:f>TEXT(E7/1440,"[h]:mm")</x:f>
        <x:v>3:40</x:v>
      </x:c>
      <x:c r="G7" s="10" t="str">
        <x:v>https://www.google.com/maps/dir/?api=1&amp;origin=Esslingen+am+Neckar&amp;destination=Flaurling%2C+%C3%96sterreich&amp;travelmode=driving</x:v>
      </x:c>
      <x:c r="H7" s="10" t="str">
        <x:v>Schätzung; vor Kauf mit Google Maps prüfen</x:v>
      </x:c>
    </x:row>
    <x:row r="8" ht="30" customHeight="1">
      <x:c r="A8" s="10" t="str">
        <x:v>IS24-167388287</x:v>
      </x:c>
      <x:c r="B8" s="10" t="str">
        <x:v>Mehr-Generationenhaus mit viel Platz für Familien</x:v>
      </x:c>
      <x:c r="C8" s="10" t="str">
        <x:v>Flaurling</x:v>
      </x:c>
      <x:c r="D8" s="10" t="str">
        <x:v>München</x:v>
      </x:c>
      <x:c r="E8" s="40" t="n">
        <x:v>115</x:v>
      </x:c>
      <x:c r="F8" s="10" t="str">
        <x:f>TEXT(E8/1440,"[h]:mm")</x:f>
        <x:v>1:55</x:v>
      </x:c>
      <x:c r="G8" s="10" t="str">
        <x:v>https://www.google.com/maps/dir/?api=1&amp;origin=M%C3%BCnchen&amp;destination=Flaurling%2C+%C3%96sterreich&amp;travelmode=driving</x:v>
      </x:c>
      <x:c r="H8" s="10" t="str">
        <x:v>Schätzung; vor Kauf mit Google Maps prüfen</x:v>
      </x:c>
    </x:row>
    <x:row r="9" ht="30" customHeight="1">
      <x:c r="A9" s="10" t="str">
        <x:v>IS24-167388287</x:v>
      </x:c>
      <x:c r="B9" s="10" t="str">
        <x:v>Mehr-Generationenhaus mit viel Platz für Familien</x:v>
      </x:c>
      <x:c r="C9" s="10" t="str">
        <x:v>Flaurling</x:v>
      </x:c>
      <x:c r="D9" s="10" t="str">
        <x:v>Neuburg an der Donau</x:v>
      </x:c>
      <x:c r="E9" s="40" t="n">
        <x:v>175</x:v>
      </x:c>
      <x:c r="F9" s="10" t="str">
        <x:f>TEXT(E9/1440,"[h]:mm")</x:f>
        <x:v>2:55</x:v>
      </x:c>
      <x:c r="G9" s="10" t="str">
        <x:v>https://www.google.com/maps/dir/?api=1&amp;origin=Neuburg+an+der+Donau&amp;destination=Flaurling%2C+%C3%96sterreich&amp;travelmode=driving</x:v>
      </x:c>
      <x:c r="H9" s="10" t="str">
        <x:v>Schätzung; vor Kauf mit Google Maps prüfen</x:v>
      </x:c>
    </x:row>
    <x:row r="10" ht="30" customHeight="1">
      <x:c r="A10" s="10" t="str">
        <x:v>IS24-167388287</x:v>
      </x:c>
      <x:c r="B10" s="10" t="str">
        <x:v>Mehr-Generationenhaus mit viel Platz für Familien</x:v>
      </x:c>
      <x:c r="C10" s="10" t="str">
        <x:v>Flaurling</x:v>
      </x:c>
      <x:c r="D10" s="10" t="str">
        <x:v>Hinwil CH</x:v>
      </x:c>
      <x:c r="E10" s="40" t="n">
        <x:v>215</x:v>
      </x:c>
      <x:c r="F10" s="10" t="str">
        <x:f>TEXT(E10/1440,"[h]:mm")</x:f>
        <x:v>3:35</x:v>
      </x:c>
      <x:c r="G10" s="10" t="str">
        <x:v>https://www.google.com/maps/dir/?api=1&amp;origin=Hinwil+CH&amp;destination=Flaurling%2C+%C3%96sterreich&amp;travelmode=driving</x:v>
      </x:c>
      <x:c r="H10" s="10" t="str">
        <x:v>Schätzung; vor Kauf mit Google Maps prüfen</x:v>
      </x:c>
    </x:row>
    <x:row r="11" ht="30" customHeight="1">
      <x:c r="A11" s="10" t="str">
        <x:v>IS24-167388287</x:v>
      </x:c>
      <x:c r="B11" s="10" t="str">
        <x:v>Mehr-Generationenhaus mit viel Platz für Familien</x:v>
      </x:c>
      <x:c r="C11" s="10" t="str">
        <x:v>Flaurling</x:v>
      </x:c>
      <x:c r="D11" s="10" t="str">
        <x:v>Innsbruck</x:v>
      </x:c>
      <x:c r="E11" s="40" t="n">
        <x:v>25</x:v>
      </x:c>
      <x:c r="F11" s="10" t="str">
        <x:f>TEXT(E11/1440,"[h]:mm")</x:f>
        <x:v>0:25</x:v>
      </x:c>
      <x:c r="G11" s="10" t="str">
        <x:v>https://www.google.com/maps/dir/?api=1&amp;origin=Innsbruck&amp;destination=Flaurling%2C+%C3%96sterreich&amp;travelmode=driving</x:v>
      </x:c>
      <x:c r="H11" s="10" t="str">
        <x:v>Schätzung; vor Kauf mit Google Maps prüfen</x:v>
      </x:c>
    </x:row>
    <x:row r="12" ht="30" customHeight="1">
      <x:c r="A12" s="10" t="str">
        <x:v>IS24AT-685e564</x:v>
      </x:c>
      <x:c r="B12" s="10" t="str">
        <x:v>Haus in Omes/Axams mit Garten, Garage und Bergblick</x:v>
      </x:c>
      <x:c r="C12" s="10" t="str">
        <x:v>Omes / Axams</x:v>
      </x:c>
      <x:c r="D12" s="10" t="str">
        <x:v>Esslingen am Neckar</x:v>
      </x:c>
      <x:c r="E12" s="40" t="n">
        <x:v>225</x:v>
      </x:c>
      <x:c r="F12" s="10" t="str">
        <x:f>TEXT(E12/1440,"[h]:mm")</x:f>
        <x:v>3:45</x:v>
      </x:c>
      <x:c r="G12" s="10" t="str">
        <x:v>https://www.google.com/maps/dir/?api=1&amp;origin=Esslingen+am+Neckar&amp;destination=Omes+%2F+Axams%2C+%C3%96sterreich&amp;travelmode=driving</x:v>
      </x:c>
      <x:c r="H12" s="10" t="str">
        <x:v>Schätzung; vor Kauf mit Google Maps prüfen</x:v>
      </x:c>
    </x:row>
    <x:row r="13" ht="30" customHeight="1">
      <x:c r="A13" s="10" t="str">
        <x:v>IS24AT-685e564</x:v>
      </x:c>
      <x:c r="B13" s="10" t="str">
        <x:v>Haus in Omes/Axams mit Garten, Garage und Bergblick</x:v>
      </x:c>
      <x:c r="C13" s="10" t="str">
        <x:v>Omes / Axams</x:v>
      </x:c>
      <x:c r="D13" s="10" t="str">
        <x:v>München</x:v>
      </x:c>
      <x:c r="E13" s="40" t="n">
        <x:v>110</x:v>
      </x:c>
      <x:c r="F13" s="10" t="str">
        <x:f>TEXT(E13/1440,"[h]:mm")</x:f>
        <x:v>1:50</x:v>
      </x:c>
      <x:c r="G13" s="10" t="str">
        <x:v>https://www.google.com/maps/dir/?api=1&amp;origin=M%C3%BCnchen&amp;destination=Omes+%2F+Axams%2C+%C3%96sterreich&amp;travelmode=driving</x:v>
      </x:c>
      <x:c r="H13" s="10" t="str">
        <x:v>Schätzung; vor Kauf mit Google Maps prüfen</x:v>
      </x:c>
    </x:row>
    <x:row r="14" ht="30" customHeight="1">
      <x:c r="A14" s="10" t="str">
        <x:v>IS24AT-685e564</x:v>
      </x:c>
      <x:c r="B14" s="10" t="str">
        <x:v>Haus in Omes/Axams mit Garten, Garage und Bergblick</x:v>
      </x:c>
      <x:c r="C14" s="10" t="str">
        <x:v>Omes / Axams</x:v>
      </x:c>
      <x:c r="D14" s="10" t="str">
        <x:v>Neuburg an der Donau</x:v>
      </x:c>
      <x:c r="E14" s="40" t="n">
        <x:v>170</x:v>
      </x:c>
      <x:c r="F14" s="10" t="str">
        <x:f>TEXT(E14/1440,"[h]:mm")</x:f>
        <x:v>2:50</x:v>
      </x:c>
      <x:c r="G14" s="10" t="str">
        <x:v>https://www.google.com/maps/dir/?api=1&amp;origin=Neuburg+an+der+Donau&amp;destination=Omes+%2F+Axams%2C+%C3%96sterreich&amp;travelmode=driving</x:v>
      </x:c>
      <x:c r="H14" s="10" t="str">
        <x:v>Schätzung; vor Kauf mit Google Maps prüfen</x:v>
      </x:c>
    </x:row>
    <x:row r="15" ht="30" customHeight="1">
      <x:c r="A15" s="10" t="str">
        <x:v>IS24AT-685e564</x:v>
      </x:c>
      <x:c r="B15" s="10" t="str">
        <x:v>Haus in Omes/Axams mit Garten, Garage und Bergblick</x:v>
      </x:c>
      <x:c r="C15" s="10" t="str">
        <x:v>Omes / Axams</x:v>
      </x:c>
      <x:c r="D15" s="10" t="str">
        <x:v>Hinwil CH</x:v>
      </x:c>
      <x:c r="E15" s="40" t="n">
        <x:v>225</x:v>
      </x:c>
      <x:c r="F15" s="10" t="str">
        <x:f>TEXT(E15/1440,"[h]:mm")</x:f>
        <x:v>3:45</x:v>
      </x:c>
      <x:c r="G15" s="10" t="str">
        <x:v>https://www.google.com/maps/dir/?api=1&amp;origin=Hinwil+CH&amp;destination=Omes+%2F+Axams%2C+%C3%96sterreich&amp;travelmode=driving</x:v>
      </x:c>
      <x:c r="H15" s="10" t="str">
        <x:v>Schätzung; vor Kauf mit Google Maps prüfen</x:v>
      </x:c>
    </x:row>
    <x:row r="16" ht="30" customHeight="1">
      <x:c r="A16" s="10" t="str">
        <x:v>IS24AT-685e564</x:v>
      </x:c>
      <x:c r="B16" s="10" t="str">
        <x:v>Haus in Omes/Axams mit Garten, Garage und Bergblick</x:v>
      </x:c>
      <x:c r="C16" s="10" t="str">
        <x:v>Omes / Axams</x:v>
      </x:c>
      <x:c r="D16" s="10" t="str">
        <x:v>Innsbruck</x:v>
      </x:c>
      <x:c r="E16" s="40" t="n">
        <x:v>20</x:v>
      </x:c>
      <x:c r="F16" s="10" t="str">
        <x:f>TEXT(E16/1440,"[h]:mm")</x:f>
        <x:v>0:20</x:v>
      </x:c>
      <x:c r="G16" s="10" t="str">
        <x:v>https://www.google.com/maps/dir/?api=1&amp;origin=Innsbruck&amp;destination=Omes+%2F+Axams%2C+%C3%96sterreich&amp;travelmode=driving</x:v>
      </x:c>
      <x:c r="H16" s="10" t="str">
        <x:v>Schätzung; vor Kauf mit Google Maps prüfen</x:v>
      </x:c>
    </x:row>
    <x:row r="17" ht="30" customHeight="1">
      <x:c r="A17" s="10" t="str">
        <x:v>IS24AT-69f8a3</x:v>
      </x:c>
      <x:c r="B17" s="10" t="str">
        <x:v>Einfamilienhaus in Faggen – Wohnen mit Charme und Ausblick</x:v>
      </x:c>
      <x:c r="C17" s="10" t="str">
        <x:v>Faggen</x:v>
      </x:c>
      <x:c r="D17" s="10" t="str">
        <x:v>Esslingen am Neckar</x:v>
      </x:c>
      <x:c r="E17" s="40" t="n">
        <x:v>230</x:v>
      </x:c>
      <x:c r="F17" s="10" t="str">
        <x:f>TEXT(E17/1440,"[h]:mm")</x:f>
        <x:v>3:50</x:v>
      </x:c>
      <x:c r="G17" s="10" t="str">
        <x:v>https://www.google.com/maps/dir/?api=1&amp;origin=Esslingen+am+Neckar&amp;destination=Faggen%2C+%C3%96sterreich&amp;travelmode=driving</x:v>
      </x:c>
      <x:c r="H17" s="10" t="str">
        <x:v>Schätzung; vor Kauf mit Google Maps prüfen</x:v>
      </x:c>
    </x:row>
    <x:row r="18" ht="30" customHeight="1">
      <x:c r="A18" s="10" t="str">
        <x:v>IS24AT-69f8a3</x:v>
      </x:c>
      <x:c r="B18" s="10" t="str">
        <x:v>Einfamilienhaus in Faggen – Wohnen mit Charme und Ausblick</x:v>
      </x:c>
      <x:c r="C18" s="10" t="str">
        <x:v>Faggen</x:v>
      </x:c>
      <x:c r="D18" s="10" t="str">
        <x:v>München</x:v>
      </x:c>
      <x:c r="E18" s="40" t="n">
        <x:v>155</x:v>
      </x:c>
      <x:c r="F18" s="10" t="str">
        <x:f>TEXT(E18/1440,"[h]:mm")</x:f>
        <x:v>2:35</x:v>
      </x:c>
      <x:c r="G18" s="10" t="str">
        <x:v>https://www.google.com/maps/dir/?api=1&amp;origin=M%C3%BCnchen&amp;destination=Faggen%2C+%C3%96sterreich&amp;travelmode=driving</x:v>
      </x:c>
      <x:c r="H18" s="10" t="str">
        <x:v>Schätzung; vor Kauf mit Google Maps prüfen</x:v>
      </x:c>
    </x:row>
    <x:row r="19" ht="30" customHeight="1">
      <x:c r="A19" s="10" t="str">
        <x:v>IS24AT-69f8a3</x:v>
      </x:c>
      <x:c r="B19" s="10" t="str">
        <x:v>Einfamilienhaus in Faggen – Wohnen mit Charme und Ausblick</x:v>
      </x:c>
      <x:c r="C19" s="10" t="str">
        <x:v>Faggen</x:v>
      </x:c>
      <x:c r="D19" s="10" t="str">
        <x:v>Neuburg an der Donau</x:v>
      </x:c>
      <x:c r="E19" s="40" t="n">
        <x:v>205</x:v>
      </x:c>
      <x:c r="F19" s="10" t="str">
        <x:f>TEXT(E19/1440,"[h]:mm")</x:f>
        <x:v>3:25</x:v>
      </x:c>
      <x:c r="G19" s="10" t="str">
        <x:v>https://www.google.com/maps/dir/?api=1&amp;origin=Neuburg+an+der+Donau&amp;destination=Faggen%2C+%C3%96sterreich&amp;travelmode=driving</x:v>
      </x:c>
      <x:c r="H19" s="10" t="str">
        <x:v>Schätzung; vor Kauf mit Google Maps prüfen</x:v>
      </x:c>
    </x:row>
    <x:row r="20" ht="30" customHeight="1">
      <x:c r="A20" s="10" t="str">
        <x:v>IS24AT-69f8a3</x:v>
      </x:c>
      <x:c r="B20" s="10" t="str">
        <x:v>Einfamilienhaus in Faggen – Wohnen mit Charme und Ausblick</x:v>
      </x:c>
      <x:c r="C20" s="10" t="str">
        <x:v>Faggen</x:v>
      </x:c>
      <x:c r="D20" s="10" t="str">
        <x:v>Hinwil CH</x:v>
      </x:c>
      <x:c r="E20" s="40" t="n">
        <x:v>165</x:v>
      </x:c>
      <x:c r="F20" s="10" t="str">
        <x:f>TEXT(E20/1440,"[h]:mm")</x:f>
        <x:v>2:45</x:v>
      </x:c>
      <x:c r="G20" s="10" t="str">
        <x:v>https://www.google.com/maps/dir/?api=1&amp;origin=Hinwil+CH&amp;destination=Faggen%2C+%C3%96sterreich&amp;travelmode=driving</x:v>
      </x:c>
      <x:c r="H20" s="10" t="str">
        <x:v>Schätzung; vor Kauf mit Google Maps prüfen</x:v>
      </x:c>
    </x:row>
    <x:row r="21" ht="30" customHeight="1">
      <x:c r="A21" s="10" t="str">
        <x:v>IS24AT-69f8a3</x:v>
      </x:c>
      <x:c r="B21" s="10" t="str">
        <x:v>Einfamilienhaus in Faggen – Wohnen mit Charme und Ausblick</x:v>
      </x:c>
      <x:c r="C21" s="10" t="str">
        <x:v>Faggen</x:v>
      </x:c>
      <x:c r="D21" s="10" t="str">
        <x:v>Innsbruck</x:v>
      </x:c>
      <x:c r="E21" s="40" t="n">
        <x:v>60</x:v>
      </x:c>
      <x:c r="F21" s="10" t="str">
        <x:f>TEXT(E21/1440,"[h]:mm")</x:f>
        <x:v>1:00</x:v>
      </x:c>
      <x:c r="G21" s="10" t="str">
        <x:v>https://www.google.com/maps/dir/?api=1&amp;origin=Innsbruck&amp;destination=Faggen%2C+%C3%96sterreich&amp;travelmode=driving</x:v>
      </x:c>
      <x:c r="H21" s="10" t="str">
        <x:v>Schätzung; vor Kauf mit Google Maps prüfen</x:v>
      </x:c>
    </x:row>
    <x:row r="22" ht="30" customHeight="1">
      <x:c r="A22" s="10" t="str">
        <x:v>IS24AT-69f2ef</x:v>
      </x:c>
      <x:c r="B22" s="10" t="str">
        <x:v>Waldchalet Pfunds – provisionsfrei</x:v>
      </x:c>
      <x:c r="C22" s="10" t="str">
        <x:v>Pfunds</x:v>
      </x:c>
      <x:c r="D22" s="10" t="str">
        <x:v>Esslingen am Neckar</x:v>
      </x:c>
      <x:c r="E22" s="40" t="n">
        <x:v>240</x:v>
      </x:c>
      <x:c r="F22" s="10" t="str">
        <x:f>TEXT(E22/1440,"[h]:mm")</x:f>
        <x:v>4:00</x:v>
      </x:c>
      <x:c r="G22" s="10" t="str">
        <x:v>https://www.google.com/maps/dir/?api=1&amp;origin=Esslingen+am+Neckar&amp;destination=Pfunds%2C+%C3%96sterreich&amp;travelmode=driving</x:v>
      </x:c>
      <x:c r="H22" s="10" t="str">
        <x:v>Schätzung; vor Kauf mit Google Maps prüfen</x:v>
      </x:c>
    </x:row>
    <x:row r="23" ht="30" customHeight="1">
      <x:c r="A23" s="10" t="str">
        <x:v>IS24AT-69f2ef</x:v>
      </x:c>
      <x:c r="B23" s="10" t="str">
        <x:v>Waldchalet Pfunds – provisionsfrei</x:v>
      </x:c>
      <x:c r="C23" s="10" t="str">
        <x:v>Pfunds</x:v>
      </x:c>
      <x:c r="D23" s="10" t="str">
        <x:v>München</x:v>
      </x:c>
      <x:c r="E23" s="40" t="n">
        <x:v>170</x:v>
      </x:c>
      <x:c r="F23" s="10" t="str">
        <x:f>TEXT(E23/1440,"[h]:mm")</x:f>
        <x:v>2:50</x:v>
      </x:c>
      <x:c r="G23" s="10" t="str">
        <x:v>https://www.google.com/maps/dir/?api=1&amp;origin=M%C3%BCnchen&amp;destination=Pfunds%2C+%C3%96sterreich&amp;travelmode=driving</x:v>
      </x:c>
      <x:c r="H23" s="10" t="str">
        <x:v>Schätzung; vor Kauf mit Google Maps prüfen</x:v>
      </x:c>
    </x:row>
    <x:row r="24" ht="30" customHeight="1">
      <x:c r="A24" s="10" t="str">
        <x:v>IS24AT-69f2ef</x:v>
      </x:c>
      <x:c r="B24" s="10" t="str">
        <x:v>Waldchalet Pfunds – provisionsfrei</x:v>
      </x:c>
      <x:c r="C24" s="10" t="str">
        <x:v>Pfunds</x:v>
      </x:c>
      <x:c r="D24" s="10" t="str">
        <x:v>Neuburg an der Donau</x:v>
      </x:c>
      <x:c r="E24" s="40" t="n">
        <x:v>220</x:v>
      </x:c>
      <x:c r="F24" s="10" t="str">
        <x:f>TEXT(E24/1440,"[h]:mm")</x:f>
        <x:v>3:40</x:v>
      </x:c>
      <x:c r="G24" s="10" t="str">
        <x:v>https://www.google.com/maps/dir/?api=1&amp;origin=Neuburg+an+der+Donau&amp;destination=Pfunds%2C+%C3%96sterreich&amp;travelmode=driving</x:v>
      </x:c>
      <x:c r="H24" s="10" t="str">
        <x:v>Schätzung; vor Kauf mit Google Maps prüfen</x:v>
      </x:c>
    </x:row>
    <x:row r="25" ht="30" customHeight="1">
      <x:c r="A25" s="10" t="str">
        <x:v>IS24AT-69f2ef</x:v>
      </x:c>
      <x:c r="B25" s="10" t="str">
        <x:v>Waldchalet Pfunds – provisionsfrei</x:v>
      </x:c>
      <x:c r="C25" s="10" t="str">
        <x:v>Pfunds</x:v>
      </x:c>
      <x:c r="D25" s="10" t="str">
        <x:v>Hinwil CH</x:v>
      </x:c>
      <x:c r="E25" s="40" t="n">
        <x:v>150</x:v>
      </x:c>
      <x:c r="F25" s="10" t="str">
        <x:f>TEXT(E25/1440,"[h]:mm")</x:f>
        <x:v>2:30</x:v>
      </x:c>
      <x:c r="G25" s="10" t="str">
        <x:v>https://www.google.com/maps/dir/?api=1&amp;origin=Hinwil+CH&amp;destination=Pfunds%2C+%C3%96sterreich&amp;travelmode=driving</x:v>
      </x:c>
      <x:c r="H25" s="10" t="str">
        <x:v>Schätzung; vor Kauf mit Google Maps prüfen</x:v>
      </x:c>
    </x:row>
    <x:row r="26" ht="30" customHeight="1">
      <x:c r="A26" s="10" t="str">
        <x:v>IS24AT-69f2ef</x:v>
      </x:c>
      <x:c r="B26" s="10" t="str">
        <x:v>Waldchalet Pfunds – provisionsfrei</x:v>
      </x:c>
      <x:c r="C26" s="10" t="str">
        <x:v>Pfunds</x:v>
      </x:c>
      <x:c r="D26" s="10" t="str">
        <x:v>Innsbruck</x:v>
      </x:c>
      <x:c r="E26" s="40" t="n">
        <x:v>70</x:v>
      </x:c>
      <x:c r="F26" s="10" t="str">
        <x:f>TEXT(E26/1440,"[h]:mm")</x:f>
        <x:v>1:10</x:v>
      </x:c>
      <x:c r="G26" s="10" t="str">
        <x:v>https://www.google.com/maps/dir/?api=1&amp;origin=Innsbruck&amp;destination=Pfunds%2C+%C3%96sterreich&amp;travelmode=driving</x:v>
      </x:c>
      <x:c r="H26" s="10" t="str">
        <x:v>Schätzung; vor Kauf mit Google Maps prüfen</x:v>
      </x:c>
    </x:row>
    <x:row r="27" ht="30" customHeight="1">
      <x:c r="A27" s="10" t="str">
        <x:v>IS24AT-68025d</x:v>
      </x:c>
      <x:c r="B27" s="10" t="str">
        <x:v>Über den Dächern von Ötz – Haus mit traumhafter Aussicht</x:v>
      </x:c>
      <x:c r="C27" s="10" t="str">
        <x:v>Oetz / Ötz</x:v>
      </x:c>
      <x:c r="D27" s="10" t="str">
        <x:v>Esslingen am Neckar</x:v>
      </x:c>
      <x:c r="E27" s="40" t="n">
        <x:v>205</x:v>
      </x:c>
      <x:c r="F27" s="10" t="str">
        <x:f>TEXT(E27/1440,"[h]:mm")</x:f>
        <x:v>3:25</x:v>
      </x:c>
      <x:c r="G27" s="10" t="str">
        <x:v>https://www.google.com/maps/dir/?api=1&amp;origin=Esslingen+am+Neckar&amp;destination=Oetz+%2F+%C3%96tz%2C+%C3%96sterreich&amp;travelmode=driving</x:v>
      </x:c>
      <x:c r="H27" s="10" t="str">
        <x:v>Schätzung; vor Kauf mit Google Maps prüfen</x:v>
      </x:c>
    </x:row>
    <x:row r="28" ht="30" customHeight="1">
      <x:c r="A28" s="10" t="str">
        <x:v>IS24AT-68025d</x:v>
      </x:c>
      <x:c r="B28" s="10" t="str">
        <x:v>Über den Dächern von Ötz – Haus mit traumhafter Aussicht</x:v>
      </x:c>
      <x:c r="C28" s="10" t="str">
        <x:v>Oetz / Ötz</x:v>
      </x:c>
      <x:c r="D28" s="10" t="str">
        <x:v>München</x:v>
      </x:c>
      <x:c r="E28" s="40" t="n">
        <x:v>135</x:v>
      </x:c>
      <x:c r="F28" s="10" t="str">
        <x:f>TEXT(E28/1440,"[h]:mm")</x:f>
        <x:v>2:15</x:v>
      </x:c>
      <x:c r="G28" s="10" t="str">
        <x:v>https://www.google.com/maps/dir/?api=1&amp;origin=M%C3%BCnchen&amp;destination=Oetz+%2F+%C3%96tz%2C+%C3%96sterreich&amp;travelmode=driving</x:v>
      </x:c>
      <x:c r="H28" s="10" t="str">
        <x:v>Schätzung; vor Kauf mit Google Maps prüfen</x:v>
      </x:c>
    </x:row>
    <x:row r="29" ht="30" customHeight="1">
      <x:c r="A29" s="10" t="str">
        <x:v>IS24AT-68025d</x:v>
      </x:c>
      <x:c r="B29" s="10" t="str">
        <x:v>Über den Dächern von Ötz – Haus mit traumhafter Aussicht</x:v>
      </x:c>
      <x:c r="C29" s="10" t="str">
        <x:v>Oetz / Ötz</x:v>
      </x:c>
      <x:c r="D29" s="10" t="str">
        <x:v>Neuburg an der Donau</x:v>
      </x:c>
      <x:c r="E29" s="40" t="n">
        <x:v>185</x:v>
      </x:c>
      <x:c r="F29" s="10" t="str">
        <x:f>TEXT(E29/1440,"[h]:mm")</x:f>
        <x:v>3:05</x:v>
      </x:c>
      <x:c r="G29" s="10" t="str">
        <x:v>https://www.google.com/maps/dir/?api=1&amp;origin=Neuburg+an+der+Donau&amp;destination=Oetz+%2F+%C3%96tz%2C+%C3%96sterreich&amp;travelmode=driving</x:v>
      </x:c>
      <x:c r="H29" s="10" t="str">
        <x:v>Schätzung; vor Kauf mit Google Maps prüfen</x:v>
      </x:c>
    </x:row>
    <x:row r="30" ht="30" customHeight="1">
      <x:c r="A30" s="10" t="str">
        <x:v>IS24AT-68025d</x:v>
      </x:c>
      <x:c r="B30" s="10" t="str">
        <x:v>Über den Dächern von Ötz – Haus mit traumhafter Aussicht</x:v>
      </x:c>
      <x:c r="C30" s="10" t="str">
        <x:v>Oetz / Ötz</x:v>
      </x:c>
      <x:c r="D30" s="10" t="str">
        <x:v>Hinwil CH</x:v>
      </x:c>
      <x:c r="E30" s="40" t="n">
        <x:v>190</x:v>
      </x:c>
      <x:c r="F30" s="10" t="str">
        <x:f>TEXT(E30/1440,"[h]:mm")</x:f>
        <x:v>3:10</x:v>
      </x:c>
      <x:c r="G30" s="10" t="str">
        <x:v>https://www.google.com/maps/dir/?api=1&amp;origin=Hinwil+CH&amp;destination=Oetz+%2F+%C3%96tz%2C+%C3%96sterreich&amp;travelmode=driving</x:v>
      </x:c>
      <x:c r="H30" s="10" t="str">
        <x:v>Schätzung; vor Kauf mit Google Maps prüfen</x:v>
      </x:c>
    </x:row>
    <x:row r="31" ht="30" customHeight="1">
      <x:c r="A31" s="10" t="str">
        <x:v>IS24AT-68025d</x:v>
      </x:c>
      <x:c r="B31" s="10" t="str">
        <x:v>Über den Dächern von Ötz – Haus mit traumhafter Aussicht</x:v>
      </x:c>
      <x:c r="C31" s="10" t="str">
        <x:v>Oetz / Ötz</x:v>
      </x:c>
      <x:c r="D31" s="10" t="str">
        <x:v>Innsbruck</x:v>
      </x:c>
      <x:c r="E31" s="40" t="n">
        <x:v>40</x:v>
      </x:c>
      <x:c r="F31" s="10" t="str">
        <x:f>TEXT(E31/1440,"[h]:mm")</x:f>
        <x:v>0:40</x:v>
      </x:c>
      <x:c r="G31" s="10" t="str">
        <x:v>https://www.google.com/maps/dir/?api=1&amp;origin=Innsbruck&amp;destination=Oetz+%2F+%C3%96tz%2C+%C3%96sterreich&amp;travelmode=driving</x:v>
      </x:c>
      <x:c r="H31" s="10" t="str">
        <x:v>Schätzung; vor Kauf mit Google Maps prüfen</x:v>
      </x:c>
    </x:row>
    <x:row r="32" ht="30" customHeight="1">
      <x:c r="A32" s="10" t="str">
        <x:v>IS24AT-68d0d9</x:v>
      </x:c>
      <x:c r="B32" s="10" t="str">
        <x:v>Familienglück mit Panoramablick – Haus im vorderen Ötztal</x:v>
      </x:c>
      <x:c r="C32" s="10" t="str">
        <x:v>Ötz / Taxegg</x:v>
      </x:c>
      <x:c r="D32" s="10" t="str">
        <x:v>Esslingen am Neckar</x:v>
      </x:c>
      <x:c r="E32" s="40" t="n">
        <x:v>205</x:v>
      </x:c>
      <x:c r="F32" s="10" t="str">
        <x:f>TEXT(E32/1440,"[h]:mm")</x:f>
        <x:v>3:25</x:v>
      </x:c>
      <x:c r="G32" s="10" t="str">
        <x:v>https://www.google.com/maps/dir/?api=1&amp;origin=Esslingen+am+Neckar&amp;destination=%C3%96tz+%2F+Taxegg%2C+%C3%96sterreich&amp;travelmode=driving</x:v>
      </x:c>
      <x:c r="H32" s="10" t="str">
        <x:v>Schätzung; vor Kauf mit Google Maps prüfen</x:v>
      </x:c>
    </x:row>
    <x:row r="33" ht="30" customHeight="1">
      <x:c r="A33" s="10" t="str">
        <x:v>IS24AT-68d0d9</x:v>
      </x:c>
      <x:c r="B33" s="10" t="str">
        <x:v>Familienglück mit Panoramablick – Haus im vorderen Ötztal</x:v>
      </x:c>
      <x:c r="C33" s="10" t="str">
        <x:v>Ötz / Taxegg</x:v>
      </x:c>
      <x:c r="D33" s="10" t="str">
        <x:v>München</x:v>
      </x:c>
      <x:c r="E33" s="40" t="n">
        <x:v>135</x:v>
      </x:c>
      <x:c r="F33" s="10" t="str">
        <x:f>TEXT(E33/1440,"[h]:mm")</x:f>
        <x:v>2:15</x:v>
      </x:c>
      <x:c r="G33" s="10" t="str">
        <x:v>https://www.google.com/maps/dir/?api=1&amp;origin=M%C3%BCnchen&amp;destination=%C3%96tz+%2F+Taxegg%2C+%C3%96sterreich&amp;travelmode=driving</x:v>
      </x:c>
      <x:c r="H33" s="10" t="str">
        <x:v>Schätzung; vor Kauf mit Google Maps prüfen</x:v>
      </x:c>
    </x:row>
    <x:row r="34" ht="30" customHeight="1">
      <x:c r="A34" s="10" t="str">
        <x:v>IS24AT-68d0d9</x:v>
      </x:c>
      <x:c r="B34" s="10" t="str">
        <x:v>Familienglück mit Panoramablick – Haus im vorderen Ötztal</x:v>
      </x:c>
      <x:c r="C34" s="10" t="str">
        <x:v>Ötz / Taxegg</x:v>
      </x:c>
      <x:c r="D34" s="10" t="str">
        <x:v>Neuburg an der Donau</x:v>
      </x:c>
      <x:c r="E34" s="40" t="n">
        <x:v>185</x:v>
      </x:c>
      <x:c r="F34" s="10" t="str">
        <x:f>TEXT(E34/1440,"[h]:mm")</x:f>
        <x:v>3:05</x:v>
      </x:c>
      <x:c r="G34" s="10" t="str">
        <x:v>https://www.google.com/maps/dir/?api=1&amp;origin=Neuburg+an+der+Donau&amp;destination=%C3%96tz+%2F+Taxegg%2C+%C3%96sterreich&amp;travelmode=driving</x:v>
      </x:c>
      <x:c r="H34" s="10" t="str">
        <x:v>Schätzung; vor Kauf mit Google Maps prüfen</x:v>
      </x:c>
    </x:row>
    <x:row r="35" ht="30" customHeight="1">
      <x:c r="A35" s="10" t="str">
        <x:v>IS24AT-68d0d9</x:v>
      </x:c>
      <x:c r="B35" s="10" t="str">
        <x:v>Familienglück mit Panoramablick – Haus im vorderen Ötztal</x:v>
      </x:c>
      <x:c r="C35" s="10" t="str">
        <x:v>Ötz / Taxegg</x:v>
      </x:c>
      <x:c r="D35" s="10" t="str">
        <x:v>Hinwil CH</x:v>
      </x:c>
      <x:c r="E35" s="40" t="n">
        <x:v>190</x:v>
      </x:c>
      <x:c r="F35" s="10" t="str">
        <x:f>TEXT(E35/1440,"[h]:mm")</x:f>
        <x:v>3:10</x:v>
      </x:c>
      <x:c r="G35" s="10" t="str">
        <x:v>https://www.google.com/maps/dir/?api=1&amp;origin=Hinwil+CH&amp;destination=%C3%96tz+%2F+Taxegg%2C+%C3%96sterreich&amp;travelmode=driving</x:v>
      </x:c>
      <x:c r="H35" s="10" t="str">
        <x:v>Schätzung; vor Kauf mit Google Maps prüfen</x:v>
      </x:c>
    </x:row>
    <x:row r="36" ht="30" customHeight="1">
      <x:c r="A36" s="10" t="str">
        <x:v>IS24AT-68d0d9</x:v>
      </x:c>
      <x:c r="B36" s="10" t="str">
        <x:v>Familienglück mit Panoramablick – Haus im vorderen Ötztal</x:v>
      </x:c>
      <x:c r="C36" s="10" t="str">
        <x:v>Ötz / Taxegg</x:v>
      </x:c>
      <x:c r="D36" s="10" t="str">
        <x:v>Innsbruck</x:v>
      </x:c>
      <x:c r="E36" s="40" t="n">
        <x:v>40</x:v>
      </x:c>
      <x:c r="F36" s="10" t="str">
        <x:f>TEXT(E36/1440,"[h]:mm")</x:f>
        <x:v>0:40</x:v>
      </x:c>
      <x:c r="G36" s="10" t="str">
        <x:v>https://www.google.com/maps/dir/?api=1&amp;origin=Innsbruck&amp;destination=%C3%96tz+%2F+Taxegg%2C+%C3%96sterreich&amp;travelmode=driving</x:v>
      </x:c>
      <x:c r="H36" s="10" t="str">
        <x:v>Schätzung; vor Kauf mit Google Maps prüfen</x:v>
      </x:c>
    </x:row>
    <x:row r="37" ht="30" customHeight="1">
      <x:c r="A37" s="10" t="str">
        <x:v>IS24AT-669a65</x:v>
      </x:c>
      <x:c r="B37" s="10" t="str">
        <x:v>Wohnhaus am Eingang des Ötztals</x:v>
      </x:c>
      <x:c r="C37" s="10" t="str">
        <x:v>Sautens</x:v>
      </x:c>
      <x:c r="D37" s="10" t="str">
        <x:v>Esslingen am Neckar</x:v>
      </x:c>
      <x:c r="E37" s="40" t="n">
        <x:v>200</x:v>
      </x:c>
      <x:c r="F37" s="10" t="str">
        <x:f>TEXT(E37/1440,"[h]:mm")</x:f>
        <x:v>3:20</x:v>
      </x:c>
      <x:c r="G37" s="10" t="str">
        <x:v>https://www.google.com/maps/dir/?api=1&amp;origin=Esslingen+am+Neckar&amp;destination=Sautens%2C+%C3%96sterreich&amp;travelmode=driving</x:v>
      </x:c>
      <x:c r="H37" s="10" t="str">
        <x:v>Schätzung; vor Kauf mit Google Maps prüfen</x:v>
      </x:c>
    </x:row>
    <x:row r="38" ht="30" customHeight="1">
      <x:c r="A38" s="10" t="str">
        <x:v>IS24AT-669a65</x:v>
      </x:c>
      <x:c r="B38" s="10" t="str">
        <x:v>Wohnhaus am Eingang des Ötztals</x:v>
      </x:c>
      <x:c r="C38" s="10" t="str">
        <x:v>Sautens</x:v>
      </x:c>
      <x:c r="D38" s="10" t="str">
        <x:v>München</x:v>
      </x:c>
      <x:c r="E38" s="40" t="n">
        <x:v>130</x:v>
      </x:c>
      <x:c r="F38" s="10" t="str">
        <x:f>TEXT(E38/1440,"[h]:mm")</x:f>
        <x:v>2:10</x:v>
      </x:c>
      <x:c r="G38" s="10" t="str">
        <x:v>https://www.google.com/maps/dir/?api=1&amp;origin=M%C3%BCnchen&amp;destination=Sautens%2C+%C3%96sterreich&amp;travelmode=driving</x:v>
      </x:c>
      <x:c r="H38" s="10" t="str">
        <x:v>Schätzung; vor Kauf mit Google Maps prüfen</x:v>
      </x:c>
    </x:row>
    <x:row r="39" ht="30" customHeight="1">
      <x:c r="A39" s="10" t="str">
        <x:v>IS24AT-669a65</x:v>
      </x:c>
      <x:c r="B39" s="10" t="str">
        <x:v>Wohnhaus am Eingang des Ötztals</x:v>
      </x:c>
      <x:c r="C39" s="10" t="str">
        <x:v>Sautens</x:v>
      </x:c>
      <x:c r="D39" s="10" t="str">
        <x:v>Neuburg an der Donau</x:v>
      </x:c>
      <x:c r="E39" s="40" t="n">
        <x:v>180</x:v>
      </x:c>
      <x:c r="F39" s="10" t="str">
        <x:f>TEXT(E39/1440,"[h]:mm")</x:f>
        <x:v>3:00</x:v>
      </x:c>
      <x:c r="G39" s="10" t="str">
        <x:v>https://www.google.com/maps/dir/?api=1&amp;origin=Neuburg+an+der+Donau&amp;destination=Sautens%2C+%C3%96sterreich&amp;travelmode=driving</x:v>
      </x:c>
      <x:c r="H39" s="10" t="str">
        <x:v>Schätzung; vor Kauf mit Google Maps prüfen</x:v>
      </x:c>
    </x:row>
    <x:row r="40" ht="30" customHeight="1">
      <x:c r="A40" s="10" t="str">
        <x:v>IS24AT-669a65</x:v>
      </x:c>
      <x:c r="B40" s="10" t="str">
        <x:v>Wohnhaus am Eingang des Ötztals</x:v>
      </x:c>
      <x:c r="C40" s="10" t="str">
        <x:v>Sautens</x:v>
      </x:c>
      <x:c r="D40" s="10" t="str">
        <x:v>Hinwil CH</x:v>
      </x:c>
      <x:c r="E40" s="40" t="n">
        <x:v>185</x:v>
      </x:c>
      <x:c r="F40" s="10" t="str">
        <x:f>TEXT(E40/1440,"[h]:mm")</x:f>
        <x:v>3:05</x:v>
      </x:c>
      <x:c r="G40" s="10" t="str">
        <x:v>https://www.google.com/maps/dir/?api=1&amp;origin=Hinwil+CH&amp;destination=Sautens%2C+%C3%96sterreich&amp;travelmode=driving</x:v>
      </x:c>
      <x:c r="H40" s="10" t="str">
        <x:v>Schätzung; vor Kauf mit Google Maps prüfen</x:v>
      </x:c>
    </x:row>
    <x:row r="41" ht="30" customHeight="1">
      <x:c r="A41" s="10" t="str">
        <x:v>IS24AT-669a65</x:v>
      </x:c>
      <x:c r="B41" s="10" t="str">
        <x:v>Wohnhaus am Eingang des Ötztals</x:v>
      </x:c>
      <x:c r="C41" s="10" t="str">
        <x:v>Sautens</x:v>
      </x:c>
      <x:c r="D41" s="10" t="str">
        <x:v>Innsbruck</x:v>
      </x:c>
      <x:c r="E41" s="40" t="n">
        <x:v>35</x:v>
      </x:c>
      <x:c r="F41" s="10" t="str">
        <x:f>TEXT(E41/1440,"[h]:mm")</x:f>
        <x:v>0:35</x:v>
      </x:c>
      <x:c r="G41" s="10" t="str">
        <x:v>https://www.google.com/maps/dir/?api=1&amp;origin=Innsbruck&amp;destination=Sautens%2C+%C3%96sterreich&amp;travelmode=driving</x:v>
      </x:c>
      <x:c r="H41" s="10" t="str">
        <x:v>Schätzung; vor Kauf mit Google Maps prüfen</x:v>
      </x:c>
    </x:row>
    <x:row r="42" ht="30" customHeight="1"/>
    <x:row r="43" ht="30" customHeight="1"/>
    <x:row r="44" ht="30" customHeight="1"/>
    <x:row r="45" ht="30" customHeight="1"/>
    <x:row r="46" ht="30" customHeight="1"/>
    <x:row r="47" ht="30" customHeight="1"/>
    <x:row r="48" ht="30" customHeight="1"/>
    <x:row r="49" ht="30" customHeight="1"/>
    <x:row r="50" ht="30" customHeight="1"/>
    <x:row r="51" ht="30" customHeight="1"/>
    <x:row r="52" ht="30" customHeight="1"/>
    <x:row r="53" ht="30" customHeight="1"/>
    <x:row r="54" ht="30" customHeight="1"/>
    <x:row r="55" ht="30" customHeight="1"/>
    <x:row r="56" ht="30" customHeight="1"/>
    <x:row r="57" ht="30" customHeight="1"/>
    <x:row r="58" ht="30" customHeight="1"/>
    <x:row r="59" ht="30" customHeight="1"/>
    <x:row r="60" ht="30" customHeight="1"/>
    <x:row r="61" ht="30" customHeight="1"/>
    <x:row r="62" ht="30" customHeight="1"/>
    <x:row r="63" ht="30" customHeight="1"/>
    <x:row r="64" ht="30" customHeight="1"/>
    <x:row r="65" ht="30" customHeight="1"/>
    <x:row r="66" ht="30" customHeight="1"/>
    <x:row r="67" ht="30" customHeight="1"/>
    <x:row r="68" ht="30" customHeight="1"/>
    <x:row r="69" ht="30" customHeight="1"/>
    <x:row r="70" ht="30" customHeight="1"/>
    <x:row r="71" ht="30" customHeight="1"/>
    <x:row r="72" ht="30" customHeight="1"/>
    <x:row r="73" ht="30" customHeight="1"/>
    <x:row r="74" ht="30" customHeight="1"/>
    <x:row r="75" ht="30" customHeight="1"/>
    <x:row r="76" ht="30" customHeight="1"/>
    <x:row r="77" ht="30" customHeight="1"/>
    <x:row r="78" ht="30" customHeight="1"/>
    <x:row r="79" ht="30" customHeight="1"/>
    <x:row r="80" ht="30" customHeight="1"/>
    <x:row r="81" ht="30" customHeight="1"/>
    <x:row r="82" ht="30" customHeight="1"/>
    <x:row r="83" ht="30" customHeight="1"/>
    <x:row r="84" ht="30" customHeight="1"/>
    <x:row r="85" ht="30" customHeight="1"/>
    <x:row r="86" ht="30" customHeight="1"/>
    <x:row r="87" ht="30" customHeight="1"/>
    <x:row r="88" ht="30" customHeight="1"/>
    <x:row r="89" ht="30" customHeight="1"/>
    <x:row r="90" ht="30" customHeight="1"/>
    <x:row r="91" ht="30" customHeight="1"/>
    <x:row r="92" ht="30" customHeight="1"/>
    <x:row r="93" ht="30" customHeight="1"/>
    <x:row r="94" ht="30" customHeight="1"/>
    <x:row r="95" ht="30" customHeight="1"/>
    <x:row r="96" ht="30" customHeight="1"/>
    <x:row r="97" ht="30" customHeight="1"/>
    <x:row r="98" ht="30" customHeight="1"/>
    <x:row r="99" ht="30" customHeight="1"/>
    <x:row r="100" ht="30" customHeight="1"/>
    <x:row r="101" ht="30" customHeight="1"/>
    <x:row r="102" ht="30" customHeight="1"/>
    <x:row r="103" ht="30" customHeight="1"/>
    <x:row r="104" ht="30" customHeight="1"/>
    <x:row r="105" ht="30" customHeight="1"/>
    <x:row r="106" ht="30" customHeight="1"/>
    <x:row r="107" ht="30" customHeight="1"/>
    <x:row r="108" ht="30" customHeight="1"/>
    <x:row r="109" ht="30" customHeight="1"/>
    <x:row r="110" ht="30" customHeight="1"/>
    <x:row r="111" ht="30" customHeight="1"/>
    <x:row r="112" ht="30" customHeight="1"/>
    <x:row r="113" ht="30" customHeight="1"/>
    <x:row r="114" ht="30" customHeight="1"/>
    <x:row r="115" ht="30" customHeight="1"/>
    <x:row r="116" ht="30" customHeight="1"/>
    <x:row r="117" ht="30" customHeight="1"/>
    <x:row r="118" ht="30" customHeight="1"/>
    <x:row r="119" ht="30" customHeight="1"/>
    <x:row r="120" ht="30" customHeight="1"/>
    <x:row r="121" ht="30" customHeight="1"/>
    <x:row r="122" ht="30" customHeight="1"/>
    <x:row r="123" ht="30" customHeight="1"/>
    <x:row r="124" ht="30" customHeight="1"/>
    <x:row r="125" ht="30" customHeight="1"/>
    <x:row r="126" ht="30" customHeight="1"/>
    <x:row r="127" ht="30" customHeight="1"/>
    <x:row r="128" ht="30" customHeight="1"/>
    <x:row r="129" ht="30" customHeight="1"/>
    <x:row r="130" ht="30" customHeight="1"/>
    <x:row r="131" ht="30" customHeight="1"/>
    <x:row r="132" ht="30" customHeight="1"/>
    <x:row r="133" ht="30" customHeight="1"/>
    <x:row r="134" ht="30" customHeight="1"/>
    <x:row r="135" ht="30" customHeight="1"/>
    <x:row r="136" ht="30" customHeight="1"/>
    <x:row r="137" ht="30" customHeight="1"/>
    <x:row r="138" ht="30" customHeight="1"/>
    <x:row r="139" ht="30" customHeight="1"/>
    <x:row r="140" ht="30" customHeight="1"/>
    <x:row r="141" ht="30" customHeight="1"/>
    <x:row r="142" ht="30" customHeight="1"/>
    <x:row r="143" ht="30" customHeight="1"/>
    <x:row r="144" ht="30" customHeight="1"/>
    <x:row r="145" ht="30" customHeight="1"/>
    <x:row r="146" ht="30" customHeight="1"/>
    <x:row r="147" ht="30" customHeight="1"/>
    <x:row r="148" ht="30" customHeight="1"/>
    <x:row r="149" ht="30" customHeight="1"/>
    <x:row r="150" ht="30" customHeight="1"/>
    <x:row r="151" ht="30" customHeight="1"/>
    <x:row r="152" ht="30" customHeight="1"/>
    <x:row r="153" ht="30" customHeight="1"/>
    <x:row r="154" ht="30" customHeight="1"/>
    <x:row r="155" ht="30" customHeight="1"/>
    <x:row r="156" ht="30" customHeight="1"/>
    <x:row r="157" ht="30" customHeight="1"/>
    <x:row r="158" ht="30" customHeight="1"/>
    <x:row r="159" ht="30" customHeight="1"/>
    <x:row r="160" ht="30" customHeight="1"/>
    <x:row r="161" ht="30" customHeight="1"/>
    <x:row r="162" ht="30" customHeight="1"/>
    <x:row r="163" ht="30" customHeight="1"/>
    <x:row r="164" ht="30" customHeight="1"/>
    <x:row r="165" ht="30" customHeight="1"/>
    <x:row r="166" ht="30" customHeight="1"/>
    <x:row r="167" ht="30" customHeight="1"/>
    <x:row r="168" ht="30" customHeight="1"/>
    <x:row r="169" ht="30" customHeight="1"/>
    <x:row r="170" ht="30" customHeight="1"/>
    <x:row r="171" ht="30" customHeight="1"/>
    <x:row r="172" ht="30" customHeight="1"/>
    <x:row r="173" ht="30" customHeight="1"/>
    <x:row r="174" ht="30" customHeight="1"/>
    <x:row r="175" ht="30" customHeight="1"/>
    <x:row r="176" ht="30" customHeight="1"/>
    <x:row r="177" ht="30" customHeight="1"/>
    <x:row r="178" ht="30" customHeight="1"/>
    <x:row r="179" ht="30" customHeight="1"/>
    <x:row r="180" ht="30" customHeight="1"/>
    <x:row r="181" ht="30" customHeight="1"/>
    <x:row r="182" ht="30" customHeight="1"/>
    <x:row r="183" ht="30" customHeight="1"/>
    <x:row r="184" ht="30" customHeight="1"/>
    <x:row r="185" ht="30" customHeight="1"/>
    <x:row r="186" ht="30" customHeight="1"/>
    <x:row r="187" ht="30" customHeight="1"/>
    <x:row r="188" ht="30" customHeight="1"/>
    <x:row r="189" ht="30" customHeight="1"/>
    <x:row r="190" ht="30" customHeight="1"/>
    <x:row r="191" ht="30" customHeight="1"/>
    <x:row r="192" ht="30" customHeight="1"/>
    <x:row r="193" ht="30" customHeight="1"/>
    <x:row r="194" ht="30" customHeight="1"/>
    <x:row r="195" ht="30" customHeight="1"/>
    <x:row r="196" ht="30" customHeight="1"/>
    <x:row r="197" ht="30" customHeight="1"/>
    <x:row r="198" ht="30" customHeight="1"/>
    <x:row r="199" ht="30" customHeight="1"/>
    <x:row r="200" ht="30" customHeight="1"/>
  </x:sheetData>
  <x:conditionalFormatting sqref="E2:E41">
    <x:cfRule type="colorScale" priority="1">
      <x:colorScale>
        <x:cfvo type="min"/>
        <x:cfvo type="percentile" val="50"/>
        <x:cfvo type="max"/>
        <x:color rgb="D9EAD3"/>
        <x:color rgb="FFF2CC"/>
        <x:color rgb="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cdeb41cb0744a3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.920000076293945" hidden="0" customWidth="1"/>
    <x:col min="2" max="2" width="36" hidden="0" customWidth="1"/>
    <x:col min="3" max="3" width="21.1299991607666" hidden="0" customWidth="1"/>
    <x:col min="4" max="4" width="34" hidden="0" customWidth="1"/>
    <x:col min="5" max="5" width="16.290000915527344" hidden="0" customWidth="1"/>
    <x:col min="6" max="6" width="11.710000038146973" hidden="0" customWidth="1"/>
    <x:col min="7" max="7" width="12.789999961853027" hidden="0" customWidth="1"/>
    <x:col min="8" max="8" width="60" hidden="0" customWidth="1"/>
    <x:col min="9" max="9" width="38" hidden="0" customWidth="1"/>
    <x:col min="10" max="10" width="36.20000076293945" hidden="0" customWidth="1"/>
  </x:cols>
  <x:sheetData>
    <x:row r="1" ht="42" customHeight="1">
      <x:c r="A1" s="18" t="str">
        <x:v>ID</x:v>
      </x:c>
      <x:c r="B1" s="18" t="str">
        <x:v>Objekt</x:v>
      </x:c>
      <x:c r="C1" s="18" t="str">
        <x:v>Zielort</x:v>
      </x:c>
      <x:c r="D1" s="18" t="str">
        <x:v>Skigebiet / Talstation</x:v>
      </x:c>
      <x:c r="E1" s="18" t="str">
        <x:v>Ort Talstation</x:v>
      </x:c>
      <x:c r="F1" s="18" t="str">
        <x:v>Distanz km ca.</x:v>
      </x:c>
      <x:c r="G1" s="18" t="str">
        <x:v>Fahrzeit min ca.</x:v>
      </x:c>
      <x:c r="H1" s="18" t="str">
        <x:v>Google Maps Prüflink</x:v>
      </x:c>
      <x:c r="I1" s="18" t="str">
        <x:v>Quelle Skigebiet</x:v>
      </x:c>
      <x:c r="J1" s="18" t="str">
        <x:v>Datenqualität</x:v>
      </x:c>
    </x:row>
    <x:row r="2" ht="30" customHeight="1">
      <x:c r="A2" s="10" t="str">
        <x:v>IS24-165475678</x:v>
      </x:c>
      <x:c r="B2" s="10" t="str">
        <x:v>Luxuriöses Traumhaus in Tirol (Neustift / Kampl)</x:v>
      </x:c>
      <x:c r="C2" s="10" t="str">
        <x:v>Telfes im Stubai / Stubaital</x:v>
      </x:c>
      <x:c r="D2" s="10" t="str">
        <x:v>Schlick 2000 / Kreuzjochbahn Fulpmes</x:v>
      </x:c>
      <x:c r="E2" s="10" t="str">
        <x:v>Fulpmes</x:v>
      </x:c>
      <x:c r="F2" s="51" t="n">
        <x:v>5</x:v>
      </x:c>
      <x:c r="G2" s="40" t="n">
        <x:v>8</x:v>
      </x:c>
      <x:c r="H2" s="10" t="str">
        <x:v>https://www.google.com/maps/dir/?api=1&amp;origin=Telfes+im+Stubai+%2F+Stubaital%2C+%C3%96sterreich&amp;destination=Schlick+2000+%2F+Kreuzjochbahn+Fulpmes%2C+Fulpmes&amp;travelmode=driving</x:v>
      </x:c>
      <x:c r="I2" s="10" t="str">
        <x:v>https://www.schlick2000.at/</x:v>
      </x:c>
      <x:c r="J2" s="10" t="str">
        <x:v>Näherung; Talstation/Adresse manuell prüfen</x:v>
      </x:c>
    </x:row>
    <x:row r="3" ht="30" customHeight="1">
      <x:c r="A3" s="10" t="str">
        <x:v>IS24-165475678</x:v>
      </x:c>
      <x:c r="B3" s="10" t="str">
        <x:v>Luxuriöses Traumhaus in Tirol (Neustift / Kampl)</x:v>
      </x:c>
      <x:c r="C3" s="10" t="str">
        <x:v>Telfes im Stubai / Stubaital</x:v>
      </x:c>
      <x:c r="D3" s="10" t="str">
        <x:v>Serlesbahnen Mieders</x:v>
      </x:c>
      <x:c r="E3" s="10" t="str">
        <x:v>Mieders</x:v>
      </x:c>
      <x:c r="F3" s="51" t="n">
        <x:v>4</x:v>
      </x:c>
      <x:c r="G3" s="40" t="n">
        <x:v>6</x:v>
      </x:c>
      <x:c r="H3" s="10" t="str">
        <x:v>https://www.google.com/maps/dir/?api=1&amp;origin=Telfes+im+Stubai+%2F+Stubaital%2C+%C3%96sterreich&amp;destination=Serlesbahnen+Mieders%2C+Mieders&amp;travelmode=driving</x:v>
      </x:c>
      <x:c r="I3" s="10" t="str">
        <x:v>https://www.serlesbahnen.at/</x:v>
      </x:c>
      <x:c r="J3" s="10" t="str">
        <x:v>Näherung; Talstation/Adresse manuell prüfen</x:v>
      </x:c>
    </x:row>
    <x:row r="4" ht="30" customHeight="1">
      <x:c r="A4" s="10" t="str">
        <x:v>IS24-165475678</x:v>
      </x:c>
      <x:c r="B4" s="10" t="str">
        <x:v>Luxuriöses Traumhaus in Tirol (Neustift / Kampl)</x:v>
      </x:c>
      <x:c r="C4" s="10" t="str">
        <x:v>Telfes im Stubai / Stubaital</x:v>
      </x:c>
      <x:c r="D4" s="10" t="str">
        <x:v>Stubaier Gletscher Talstation Mutterberg</x:v>
      </x:c>
      <x:c r="E4" s="10" t="str">
        <x:v>Neustift/Mutterberg</x:v>
      </x:c>
      <x:c r="F4" s="51" t="n">
        <x:v>32</x:v>
      </x:c>
      <x:c r="G4" s="40" t="n">
        <x:v>40</x:v>
      </x:c>
      <x:c r="H4" s="10" t="str">
        <x:v>https://www.google.com/maps/dir/?api=1&amp;origin=Telfes+im+Stubai+%2F+Stubaital%2C+%C3%96sterreich&amp;destination=Stubaier+Gletscher+Talstation+Mutterberg%2C+Neustift%2FMutterberg&amp;travelmode=driving</x:v>
      </x:c>
      <x:c r="I4" s="10" t="str">
        <x:v>https://www.stubaier-gletscher.com/</x:v>
      </x:c>
      <x:c r="J4" s="10" t="str">
        <x:v>Näherung; Talstation/Adresse manuell prüfen</x:v>
      </x:c>
    </x:row>
    <x:row r="5" ht="30" customHeight="1">
      <x:c r="A5" s="10" t="str">
        <x:v>IS24-167388287</x:v>
      </x:c>
      <x:c r="B5" s="10" t="str">
        <x:v>Mehr-Generationenhaus mit viel Platz für Familien</x:v>
      </x:c>
      <x:c r="C5" s="10" t="str">
        <x:v>Flaurling</x:v>
      </x:c>
      <x:c r="D5" s="10" t="str">
        <x:v>Rangger Köpfl</x:v>
      </x:c>
      <x:c r="E5" s="10" t="str">
        <x:v>Oberperfuss</x:v>
      </x:c>
      <x:c r="F5" s="51" t="n">
        <x:v>16</x:v>
      </x:c>
      <x:c r="G5" s="40" t="n">
        <x:v>25</x:v>
      </x:c>
      <x:c r="H5" s="10" t="str">
        <x:v>https://www.google.com/maps/dir/?api=1&amp;origin=Flaurling%2C+%C3%96sterreich&amp;destination=Rangger+K%C3%B6pfl%2C+Oberperfuss&amp;travelmode=driving</x:v>
      </x:c>
      <x:c r="I5" s="10" t="str">
        <x:v>https://www.rangger-koepfl.at/</x:v>
      </x:c>
      <x:c r="J5" s="10" t="str">
        <x:v>Näherung; Talstation/Adresse manuell prüfen</x:v>
      </x:c>
    </x:row>
    <x:row r="6" ht="30" customHeight="1">
      <x:c r="A6" s="10" t="str">
        <x:v>IS24-167388287</x:v>
      </x:c>
      <x:c r="B6" s="10" t="str">
        <x:v>Mehr-Generationenhaus mit viel Platz für Familien</x:v>
      </x:c>
      <x:c r="C6" s="10" t="str">
        <x:v>Flaurling</x:v>
      </x:c>
      <x:c r="D6" s="10" t="str">
        <x:v>Seefeld/Rosshütte</x:v>
      </x:c>
      <x:c r="E6" s="10" t="str">
        <x:v>Seefeld</x:v>
      </x:c>
      <x:c r="F6" s="51" t="n">
        <x:v>25</x:v>
      </x:c>
      <x:c r="G6" s="40" t="n">
        <x:v>30</x:v>
      </x:c>
      <x:c r="H6" s="10" t="str">
        <x:v>https://www.google.com/maps/dir/?api=1&amp;origin=Flaurling%2C+%C3%96sterreich&amp;destination=Seefeld%2FRossh%C3%BCtte%2C+Seefeld&amp;travelmode=driving</x:v>
      </x:c>
      <x:c r="I6" s="10" t="str">
        <x:v>https://www.seefeld.com/de/winter/skigebiete.html</x:v>
      </x:c>
      <x:c r="J6" s="10" t="str">
        <x:v>Näherung; Talstation/Adresse manuell prüfen</x:v>
      </x:c>
    </x:row>
    <x:row r="7" ht="30" customHeight="1">
      <x:c r="A7" s="10" t="str">
        <x:v>IS24-167388287</x:v>
      </x:c>
      <x:c r="B7" s="10" t="str">
        <x:v>Mehr-Generationenhaus mit viel Platz für Familien</x:v>
      </x:c>
      <x:c r="C7" s="10" t="str">
        <x:v>Flaurling</x:v>
      </x:c>
      <x:c r="D7" s="10" t="str">
        <x:v>Kühtai</x:v>
      </x:c>
      <x:c r="E7" s="10" t="str">
        <x:v>Kühtai</x:v>
      </x:c>
      <x:c r="F7" s="51" t="n">
        <x:v>37</x:v>
      </x:c>
      <x:c r="G7" s="40" t="n">
        <x:v>45</x:v>
      </x:c>
      <x:c r="H7" s="10" t="str">
        <x:v>https://www.google.com/maps/dir/?api=1&amp;origin=Flaurling%2C+%C3%96sterreich&amp;destination=K%C3%BChtai%2C+K%C3%BChtai&amp;travelmode=driving</x:v>
      </x:c>
      <x:c r="I7" s="10" t="str">
        <x:v>https://www.kuehtai.info/</x:v>
      </x:c>
      <x:c r="J7" s="10" t="str">
        <x:v>Näherung; Talstation/Adresse manuell prüfen</x:v>
      </x:c>
    </x:row>
    <x:row r="8" ht="30" customHeight="1">
      <x:c r="A8" s="10" t="str">
        <x:v>IS24AT-685e564</x:v>
      </x:c>
      <x:c r="B8" s="10" t="str">
        <x:v>Haus in Omes/Axams mit Garten, Garage und Bergblick</x:v>
      </x:c>
      <x:c r="C8" s="10" t="str">
        <x:v>Omes / Axams</x:v>
      </x:c>
      <x:c r="D8" s="10" t="str">
        <x:v>Axamer Lizum</x:v>
      </x:c>
      <x:c r="E8" s="10" t="str">
        <x:v>Axams</x:v>
      </x:c>
      <x:c r="F8" s="51" t="n">
        <x:v>11</x:v>
      </x:c>
      <x:c r="G8" s="40" t="n">
        <x:v>18</x:v>
      </x:c>
      <x:c r="H8" s="10" t="str">
        <x:v>https://www.google.com/maps/dir/?api=1&amp;origin=Omes+%2F+Axams%2C+%C3%96sterreich&amp;destination=Axamer+Lizum%2C+Axams&amp;travelmode=driving</x:v>
      </x:c>
      <x:c r="I8" s="10" t="str">
        <x:v>https://www.axamer-lizum.at/</x:v>
      </x:c>
      <x:c r="J8" s="10" t="str">
        <x:v>Näherung; Talstation/Adresse manuell prüfen</x:v>
      </x:c>
    </x:row>
    <x:row r="9" ht="30" customHeight="1">
      <x:c r="A9" s="10" t="str">
        <x:v>IS24AT-685e564</x:v>
      </x:c>
      <x:c r="B9" s="10" t="str">
        <x:v>Haus in Omes/Axams mit Garten, Garage und Bergblick</x:v>
      </x:c>
      <x:c r="C9" s="10" t="str">
        <x:v>Omes / Axams</x:v>
      </x:c>
      <x:c r="D9" s="10" t="str">
        <x:v>Muttereralm</x:v>
      </x:c>
      <x:c r="E9" s="10" t="str">
        <x:v>Mutters</x:v>
      </x:c>
      <x:c r="F9" s="51" t="n">
        <x:v>13</x:v>
      </x:c>
      <x:c r="G9" s="40" t="n">
        <x:v>20</x:v>
      </x:c>
      <x:c r="H9" s="10" t="str">
        <x:v>https://www.google.com/maps/dir/?api=1&amp;origin=Omes+%2F+Axams%2C+%C3%96sterreich&amp;destination=Muttereralm%2C+Mutters&amp;travelmode=driving</x:v>
      </x:c>
      <x:c r="I9" s="10" t="str">
        <x:v>https://www.muttereralm.at/</x:v>
      </x:c>
      <x:c r="J9" s="10" t="str">
        <x:v>Näherung; Talstation/Adresse manuell prüfen</x:v>
      </x:c>
    </x:row>
    <x:row r="10" ht="30" customHeight="1">
      <x:c r="A10" s="10" t="str">
        <x:v>IS24AT-685e564</x:v>
      </x:c>
      <x:c r="B10" s="10" t="str">
        <x:v>Haus in Omes/Axams mit Garten, Garage und Bergblick</x:v>
      </x:c>
      <x:c r="C10" s="10" t="str">
        <x:v>Omes / Axams</x:v>
      </x:c>
      <x:c r="D10" s="10" t="str">
        <x:v>Nordkette</x:v>
      </x:c>
      <x:c r="E10" s="10" t="str">
        <x:v>Innsbruck</x:v>
      </x:c>
      <x:c r="F10" s="51" t="n">
        <x:v>16</x:v>
      </x:c>
      <x:c r="G10" s="40" t="n">
        <x:v>25</x:v>
      </x:c>
      <x:c r="H10" s="10" t="str">
        <x:v>https://www.google.com/maps/dir/?api=1&amp;origin=Omes+%2F+Axams%2C+%C3%96sterreich&amp;destination=Nordkette%2C+Innsbruck&amp;travelmode=driving</x:v>
      </x:c>
      <x:c r="I10" s="10" t="str">
        <x:v>https://nordkette.com/</x:v>
      </x:c>
      <x:c r="J10" s="10" t="str">
        <x:v>Näherung; Talstation/Adresse manuell prüfen</x:v>
      </x:c>
    </x:row>
    <x:row r="11" ht="30" customHeight="1">
      <x:c r="A11" s="10" t="str">
        <x:v>IS24AT-69f8a3</x:v>
      </x:c>
      <x:c r="B11" s="10" t="str">
        <x:v>Einfamilienhaus in Faggen – Wohnen mit Charme und Ausblick</x:v>
      </x:c>
      <x:c r="C11" s="10" t="str">
        <x:v>Faggen</x:v>
      </x:c>
      <x:c r="D11" s="10" t="str">
        <x:v>Kaunertaler Gletscher / Ochsenalm</x:v>
      </x:c>
      <x:c r="E11" s="10" t="str">
        <x:v>Kaunertal</x:v>
      </x:c>
      <x:c r="F11" s="51" t="n">
        <x:v>28</x:v>
      </x:c>
      <x:c r="G11" s="40" t="n">
        <x:v>35</x:v>
      </x:c>
      <x:c r="H11" s="10" t="str">
        <x:v>https://www.google.com/maps/dir/?api=1&amp;origin=Faggen%2C+%C3%96sterreich&amp;destination=Kaunertaler+Gletscher+%2F+Ochsenalm%2C+Kaunertal&amp;travelmode=driving</x:v>
      </x:c>
      <x:c r="I11" s="10" t="str">
        <x:v>https://www.kaunertaler-gletscher.at/</x:v>
      </x:c>
      <x:c r="J11" s="10" t="str">
        <x:v>Näherung; Talstation/Adresse manuell prüfen</x:v>
      </x:c>
    </x:row>
    <x:row r="12" ht="30" customHeight="1">
      <x:c r="A12" s="10" t="str">
        <x:v>IS24AT-69f8a3</x:v>
      </x:c>
      <x:c r="B12" s="10" t="str">
        <x:v>Einfamilienhaus in Faggen – Wohnen mit Charme und Ausblick</x:v>
      </x:c>
      <x:c r="C12" s="10" t="str">
        <x:v>Faggen</x:v>
      </x:c>
      <x:c r="D12" s="10" t="str">
        <x:v>Serfaus-Fiss-Ladis / Fiss-Ladis Talstation</x:v>
      </x:c>
      <x:c r="E12" s="10" t="str">
        <x:v>Fiss/Ladis</x:v>
      </x:c>
      <x:c r="F12" s="51" t="n">
        <x:v>15</x:v>
      </x:c>
      <x:c r="G12" s="40" t="n">
        <x:v>20</x:v>
      </x:c>
      <x:c r="H12" s="10" t="str">
        <x:v>https://www.google.com/maps/dir/?api=1&amp;origin=Faggen%2C+%C3%96sterreich&amp;destination=Serfaus-Fiss-Ladis+%2F+Fiss-Ladis+Talstation%2C+Fiss%2FLadis&amp;travelmode=driving</x:v>
      </x:c>
      <x:c r="I12" s="10" t="str">
        <x:v>https://www.serfaus-fiss-ladis.at/</x:v>
      </x:c>
      <x:c r="J12" s="10" t="str">
        <x:v>Näherung; Talstation/Adresse manuell prüfen</x:v>
      </x:c>
    </x:row>
    <x:row r="13" ht="30" customHeight="1">
      <x:c r="A13" s="10" t="str">
        <x:v>IS24AT-69f8a3</x:v>
      </x:c>
      <x:c r="B13" s="10" t="str">
        <x:v>Einfamilienhaus in Faggen – Wohnen mit Charme und Ausblick</x:v>
      </x:c>
      <x:c r="C13" s="10" t="str">
        <x:v>Faggen</x:v>
      </x:c>
      <x:c r="D13" s="10" t="str">
        <x:v>Venet Bergbahnen</x:v>
      </x:c>
      <x:c r="E13" s="10" t="str">
        <x:v>Zams</x:v>
      </x:c>
      <x:c r="F13" s="51" t="n">
        <x:v>21</x:v>
      </x:c>
      <x:c r="G13" s="40" t="n">
        <x:v>25</x:v>
      </x:c>
      <x:c r="H13" s="10" t="str">
        <x:v>https://www.google.com/maps/dir/?api=1&amp;origin=Faggen%2C+%C3%96sterreich&amp;destination=Venet+Bergbahnen%2C+Zams&amp;travelmode=driving</x:v>
      </x:c>
      <x:c r="I13" s="10" t="str">
        <x:v>https://www.venet.at/</x:v>
      </x:c>
      <x:c r="J13" s="10" t="str">
        <x:v>Näherung; Talstation/Adresse manuell prüfen</x:v>
      </x:c>
    </x:row>
    <x:row r="14" ht="30" customHeight="1">
      <x:c r="A14" s="10" t="str">
        <x:v>IS24AT-69f2ef</x:v>
      </x:c>
      <x:c r="B14" s="10" t="str">
        <x:v>Waldchalet Pfunds – provisionsfrei</x:v>
      </x:c>
      <x:c r="C14" s="10" t="str">
        <x:v>Pfunds</x:v>
      </x:c>
      <x:c r="D14" s="10" t="str">
        <x:v>Nauders / Bergkastelbahn</x:v>
      </x:c>
      <x:c r="E14" s="10" t="str">
        <x:v>Nauders</x:v>
      </x:c>
      <x:c r="F14" s="51" t="n">
        <x:v>15</x:v>
      </x:c>
      <x:c r="G14" s="40" t="n">
        <x:v>20</x:v>
      </x:c>
      <x:c r="H14" s="10" t="str">
        <x:v>https://www.google.com/maps/dir/?api=1&amp;origin=Pfunds%2C+%C3%96sterreich&amp;destination=Nauders+%2F+Bergkastelbahn%2C+Nauders&amp;travelmode=driving</x:v>
      </x:c>
      <x:c r="I14" s="10" t="str">
        <x:v>https://www.nauders.com/de/winter</x:v>
      </x:c>
      <x:c r="J14" s="10" t="str">
        <x:v>Näherung; Talstation/Adresse manuell prüfen</x:v>
      </x:c>
    </x:row>
    <x:row r="15" ht="30" customHeight="1">
      <x:c r="A15" s="10" t="str">
        <x:v>IS24AT-69f2ef</x:v>
      </x:c>
      <x:c r="B15" s="10" t="str">
        <x:v>Waldchalet Pfunds – provisionsfrei</x:v>
      </x:c>
      <x:c r="C15" s="10" t="str">
        <x:v>Pfunds</x:v>
      </x:c>
      <x:c r="D15" s="10" t="str">
        <x:v>Serfaus-Fiss-Ladis / Fiss-Ladis Talstation</x:v>
      </x:c>
      <x:c r="E15" s="10" t="str">
        <x:v>Fiss/Ladis</x:v>
      </x:c>
      <x:c r="F15" s="51" t="n">
        <x:v>30</x:v>
      </x:c>
      <x:c r="G15" s="40" t="n">
        <x:v>35</x:v>
      </x:c>
      <x:c r="H15" s="10" t="str">
        <x:v>https://www.google.com/maps/dir/?api=1&amp;origin=Pfunds%2C+%C3%96sterreich&amp;destination=Serfaus-Fiss-Ladis+%2F+Fiss-Ladis+Talstation%2C+Fiss%2FLadis&amp;travelmode=driving</x:v>
      </x:c>
      <x:c r="I15" s="10" t="str">
        <x:v>https://www.serfaus-fiss-ladis.at/</x:v>
      </x:c>
      <x:c r="J15" s="10" t="str">
        <x:v>Näherung; Talstation/Adresse manuell prüfen</x:v>
      </x:c>
    </x:row>
    <x:row r="16" ht="30" customHeight="1">
      <x:c r="A16" s="10" t="str">
        <x:v>IS24AT-69f2ef</x:v>
      </x:c>
      <x:c r="B16" s="10" t="str">
        <x:v>Waldchalet Pfunds – provisionsfrei</x:v>
      </x:c>
      <x:c r="C16" s="10" t="str">
        <x:v>Pfunds</x:v>
      </x:c>
      <x:c r="D16" s="10" t="str">
        <x:v>Samnaun/Ischgl Silvretta Arena</x:v>
      </x:c>
      <x:c r="E16" s="10" t="str">
        <x:v>Samnaun</x:v>
      </x:c>
      <x:c r="F16" s="51" t="n">
        <x:v>25</x:v>
      </x:c>
      <x:c r="G16" s="40" t="n">
        <x:v>35</x:v>
      </x:c>
      <x:c r="H16" s="10" t="str">
        <x:v>https://www.google.com/maps/dir/?api=1&amp;origin=Pfunds%2C+%C3%96sterreich&amp;destination=Samnaun%2FIschgl+Silvretta+Arena%2C+Samnaun&amp;travelmode=driving</x:v>
      </x:c>
      <x:c r="I16" s="10" t="str">
        <x:v>https://www.samnaun.ch/</x:v>
      </x:c>
      <x:c r="J16" s="10" t="str">
        <x:v>Näherung; Talstation/Adresse manuell prüfen</x:v>
      </x:c>
    </x:row>
    <x:row r="17" ht="30" customHeight="1">
      <x:c r="A17" s="10" t="str">
        <x:v>IS24AT-68025d</x:v>
      </x:c>
      <x:c r="B17" s="10" t="str">
        <x:v>Über den Dächern von Ötz – Haus mit traumhafter Aussicht</x:v>
      </x:c>
      <x:c r="C17" s="10" t="str">
        <x:v>Oetz / Ötz</x:v>
      </x:c>
      <x:c r="D17" s="10" t="str">
        <x:v>Hochoetz / Acherkogelbahn</x:v>
      </x:c>
      <x:c r="E17" s="10" t="str">
        <x:v>Oetz</x:v>
      </x:c>
      <x:c r="F17" s="51" t="n">
        <x:v>2</x:v>
      </x:c>
      <x:c r="G17" s="40" t="n">
        <x:v>4</x:v>
      </x:c>
      <x:c r="H17" s="10" t="str">
        <x:v>https://www.google.com/maps/dir/?api=1&amp;origin=Oetz+%2F+%C3%96tz%2C+%C3%96sterreich&amp;destination=Hochoetz+%2F+Acherkogelbahn%2C+Oetz&amp;travelmode=driving</x:v>
      </x:c>
      <x:c r="I17" s="10" t="str">
        <x:v>https://www.oetz.com/de/winter/skigebiet-hochoetz.html</x:v>
      </x:c>
      <x:c r="J17" s="10" t="str">
        <x:v>Näherung; Talstation/Adresse manuell prüfen</x:v>
      </x:c>
    </x:row>
    <x:row r="18" ht="30" customHeight="1">
      <x:c r="A18" s="10" t="str">
        <x:v>IS24AT-68025d</x:v>
      </x:c>
      <x:c r="B18" s="10" t="str">
        <x:v>Über den Dächern von Ötz – Haus mit traumhafter Aussicht</x:v>
      </x:c>
      <x:c r="C18" s="10" t="str">
        <x:v>Oetz / Ötz</x:v>
      </x:c>
      <x:c r="D18" s="10" t="str">
        <x:v>Kühtai</x:v>
      </x:c>
      <x:c r="E18" s="10" t="str">
        <x:v>Kühtai</x:v>
      </x:c>
      <x:c r="F18" s="51" t="n">
        <x:v>18</x:v>
      </x:c>
      <x:c r="G18" s="40" t="n">
        <x:v>25</x:v>
      </x:c>
      <x:c r="H18" s="10" t="str">
        <x:v>https://www.google.com/maps/dir/?api=1&amp;origin=Oetz+%2F+%C3%96tz%2C+%C3%96sterreich&amp;destination=K%C3%BChtai%2C+K%C3%BChtai&amp;travelmode=driving</x:v>
      </x:c>
      <x:c r="I18" s="10" t="str">
        <x:v>https://www.kuehtai.info/</x:v>
      </x:c>
      <x:c r="J18" s="10" t="str">
        <x:v>Näherung; Talstation/Adresse manuell prüfen</x:v>
      </x:c>
    </x:row>
    <x:row r="19" ht="30" customHeight="1">
      <x:c r="A19" s="10" t="str">
        <x:v>IS24AT-68025d</x:v>
      </x:c>
      <x:c r="B19" s="10" t="str">
        <x:v>Über den Dächern von Ötz – Haus mit traumhafter Aussicht</x:v>
      </x:c>
      <x:c r="C19" s="10" t="str">
        <x:v>Oetz / Ötz</x:v>
      </x:c>
      <x:c r="D19" s="10" t="str">
        <x:v>Sölden / Giggijochbahn</x:v>
      </x:c>
      <x:c r="E19" s="10" t="str">
        <x:v>Sölden</x:v>
      </x:c>
      <x:c r="F19" s="51" t="n">
        <x:v>36</x:v>
      </x:c>
      <x:c r="G19" s="40" t="n">
        <x:v>45</x:v>
      </x:c>
      <x:c r="H19" s="10" t="str">
        <x:v>https://www.google.com/maps/dir/?api=1&amp;origin=Oetz+%2F+%C3%96tz%2C+%C3%96sterreich&amp;destination=S%C3%B6lden+%2F+Giggijochbahn%2C+S%C3%B6lden&amp;travelmode=driving</x:v>
      </x:c>
      <x:c r="I19" s="10" t="str">
        <x:v>https://www.soelden.com/</x:v>
      </x:c>
      <x:c r="J19" s="10" t="str">
        <x:v>Näherung; Talstation/Adresse manuell prüfen</x:v>
      </x:c>
    </x:row>
    <x:row r="20" ht="30" customHeight="1">
      <x:c r="A20" s="10" t="str">
        <x:v>IS24AT-68d0d9</x:v>
      </x:c>
      <x:c r="B20" s="10" t="str">
        <x:v>Familienglück mit Panoramablick – Haus im vorderen Ötztal</x:v>
      </x:c>
      <x:c r="C20" s="10" t="str">
        <x:v>Ötz / Taxegg</x:v>
      </x:c>
      <x:c r="D20" s="10" t="str">
        <x:v>Hochoetz / Acherkogelbahn</x:v>
      </x:c>
      <x:c r="E20" s="10" t="str">
        <x:v>Oetz</x:v>
      </x:c>
      <x:c r="F20" s="51" t="n">
        <x:v>5</x:v>
      </x:c>
      <x:c r="G20" s="40" t="n">
        <x:v>8</x:v>
      </x:c>
      <x:c r="H20" s="10" t="str">
        <x:v>https://www.google.com/maps/dir/?api=1&amp;origin=%C3%96tz+%2F+Taxegg%2C+%C3%96sterreich&amp;destination=Hochoetz+%2F+Acherkogelbahn%2C+Oetz&amp;travelmode=driving</x:v>
      </x:c>
      <x:c r="I20" s="10" t="str">
        <x:v>https://www.oetz.com/de/winter/skigebiet-hochoetz.html</x:v>
      </x:c>
      <x:c r="J20" s="10" t="str">
        <x:v>Näherung; Talstation/Adresse manuell prüfen</x:v>
      </x:c>
    </x:row>
    <x:row r="21" ht="30" customHeight="1">
      <x:c r="A21" s="10" t="str">
        <x:v>IS24AT-68d0d9</x:v>
      </x:c>
      <x:c r="B21" s="10" t="str">
        <x:v>Familienglück mit Panoramablick – Haus im vorderen Ötztal</x:v>
      </x:c>
      <x:c r="C21" s="10" t="str">
        <x:v>Ötz / Taxegg</x:v>
      </x:c>
      <x:c r="D21" s="10" t="str">
        <x:v>Kühtai</x:v>
      </x:c>
      <x:c r="E21" s="10" t="str">
        <x:v>Kühtai</x:v>
      </x:c>
      <x:c r="F21" s="51" t="n">
        <x:v>20</x:v>
      </x:c>
      <x:c r="G21" s="40" t="n">
        <x:v>30</x:v>
      </x:c>
      <x:c r="H21" s="10" t="str">
        <x:v>https://www.google.com/maps/dir/?api=1&amp;origin=%C3%96tz+%2F+Taxegg%2C+%C3%96sterreich&amp;destination=K%C3%BChtai%2C+K%C3%BChtai&amp;travelmode=driving</x:v>
      </x:c>
      <x:c r="I21" s="10" t="str">
        <x:v>https://www.kuehtai.info/</x:v>
      </x:c>
      <x:c r="J21" s="10" t="str">
        <x:v>Näherung; Talstation/Adresse manuell prüfen</x:v>
      </x:c>
    </x:row>
    <x:row r="22" ht="30" customHeight="1">
      <x:c r="A22" s="10" t="str">
        <x:v>IS24AT-68d0d9</x:v>
      </x:c>
      <x:c r="B22" s="10" t="str">
        <x:v>Familienglück mit Panoramablick – Haus im vorderen Ötztal</x:v>
      </x:c>
      <x:c r="C22" s="10" t="str">
        <x:v>Ötz / Taxegg</x:v>
      </x:c>
      <x:c r="D22" s="10" t="str">
        <x:v>Sölden / Giggijochbahn</x:v>
      </x:c>
      <x:c r="E22" s="10" t="str">
        <x:v>Sölden</x:v>
      </x:c>
      <x:c r="F22" s="51" t="n">
        <x:v>38</x:v>
      </x:c>
      <x:c r="G22" s="40" t="n">
        <x:v>45</x:v>
      </x:c>
      <x:c r="H22" s="10" t="str">
        <x:v>https://www.google.com/maps/dir/?api=1&amp;origin=%C3%96tz+%2F+Taxegg%2C+%C3%96sterreich&amp;destination=S%C3%B6lden+%2F+Giggijochbahn%2C+S%C3%B6lden&amp;travelmode=driving</x:v>
      </x:c>
      <x:c r="I22" s="10" t="str">
        <x:v>https://www.soelden.com/</x:v>
      </x:c>
      <x:c r="J22" s="10" t="str">
        <x:v>Näherung; Talstation/Adresse manuell prüfen</x:v>
      </x:c>
    </x:row>
    <x:row r="23" ht="30" customHeight="1">
      <x:c r="A23" s="10" t="str">
        <x:v>IS24AT-669a65</x:v>
      </x:c>
      <x:c r="B23" s="10" t="str">
        <x:v>Wohnhaus am Eingang des Ötztals</x:v>
      </x:c>
      <x:c r="C23" s="10" t="str">
        <x:v>Sautens</x:v>
      </x:c>
      <x:c r="D23" s="10" t="str">
        <x:v>Hochoetz / Acherkogelbahn</x:v>
      </x:c>
      <x:c r="E23" s="10" t="str">
        <x:v>Oetz</x:v>
      </x:c>
      <x:c r="F23" s="51" t="n">
        <x:v>5</x:v>
      </x:c>
      <x:c r="G23" s="40" t="n">
        <x:v>8</x:v>
      </x:c>
      <x:c r="H23" s="10" t="str">
        <x:v>https://www.google.com/maps/dir/?api=1&amp;origin=Sautens%2C+%C3%96sterreich&amp;destination=Hochoetz+%2F+Acherkogelbahn%2C+Oetz&amp;travelmode=driving</x:v>
      </x:c>
      <x:c r="I23" s="10" t="str">
        <x:v>https://www.oetz.com/de/winter/skigebiet-hochoetz.html</x:v>
      </x:c>
      <x:c r="J23" s="10" t="str">
        <x:v>Näherung; Talstation/Adresse manuell prüfen</x:v>
      </x:c>
    </x:row>
    <x:row r="24" ht="30" customHeight="1">
      <x:c r="A24" s="10" t="str">
        <x:v>IS24AT-669a65</x:v>
      </x:c>
      <x:c r="B24" s="10" t="str">
        <x:v>Wohnhaus am Eingang des Ötztals</x:v>
      </x:c>
      <x:c r="C24" s="10" t="str">
        <x:v>Sautens</x:v>
      </x:c>
      <x:c r="D24" s="10" t="str">
        <x:v>Kühtai</x:v>
      </x:c>
      <x:c r="E24" s="10" t="str">
        <x:v>Kühtai</x:v>
      </x:c>
      <x:c r="F24" s="51" t="n">
        <x:v>22</x:v>
      </x:c>
      <x:c r="G24" s="40" t="n">
        <x:v>30</x:v>
      </x:c>
      <x:c r="H24" s="10" t="str">
        <x:v>https://www.google.com/maps/dir/?api=1&amp;origin=Sautens%2C+%C3%96sterreich&amp;destination=K%C3%BChtai%2C+K%C3%BChtai&amp;travelmode=driving</x:v>
      </x:c>
      <x:c r="I24" s="10" t="str">
        <x:v>https://www.kuehtai.info/</x:v>
      </x:c>
      <x:c r="J24" s="10" t="str">
        <x:v>Näherung; Talstation/Adresse manuell prüfen</x:v>
      </x:c>
    </x:row>
    <x:row r="25" ht="30" customHeight="1">
      <x:c r="A25" s="10" t="str">
        <x:v>IS24AT-669a65</x:v>
      </x:c>
      <x:c r="B25" s="10" t="str">
        <x:v>Wohnhaus am Eingang des Ötztals</x:v>
      </x:c>
      <x:c r="C25" s="10" t="str">
        <x:v>Sautens</x:v>
      </x:c>
      <x:c r="D25" s="10" t="str">
        <x:v>Sölden / Giggijochbahn</x:v>
      </x:c>
      <x:c r="E25" s="10" t="str">
        <x:v>Sölden</x:v>
      </x:c>
      <x:c r="F25" s="51" t="n">
        <x:v>35</x:v>
      </x:c>
      <x:c r="G25" s="40" t="n">
        <x:v>45</x:v>
      </x:c>
      <x:c r="H25" s="10" t="str">
        <x:v>https://www.google.com/maps/dir/?api=1&amp;origin=Sautens%2C+%C3%96sterreich&amp;destination=S%C3%B6lden+%2F+Giggijochbahn%2C+S%C3%B6lden&amp;travelmode=driving</x:v>
      </x:c>
      <x:c r="I25" s="10" t="str">
        <x:v>https://www.soelden.com/</x:v>
      </x:c>
      <x:c r="J25" s="10" t="str">
        <x:v>Näherung; Talstation/Adresse manuell prüfen</x:v>
      </x:c>
    </x:row>
    <x:row r="26" ht="30" customHeight="1"/>
    <x:row r="27" ht="30" customHeight="1"/>
    <x:row r="28" ht="30" customHeight="1"/>
    <x:row r="29" ht="30" customHeight="1"/>
    <x:row r="30" ht="30" customHeight="1"/>
    <x:row r="31" ht="30" customHeight="1"/>
    <x:row r="32" ht="30" customHeight="1"/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  <x:row r="41" ht="30" customHeight="1"/>
    <x:row r="42" ht="30" customHeight="1"/>
    <x:row r="43" ht="30" customHeight="1"/>
    <x:row r="44" ht="30" customHeight="1"/>
    <x:row r="45" ht="30" customHeight="1"/>
    <x:row r="46" ht="30" customHeight="1"/>
    <x:row r="47" ht="30" customHeight="1"/>
    <x:row r="48" ht="30" customHeight="1"/>
    <x:row r="49" ht="30" customHeight="1"/>
    <x:row r="50" ht="30" customHeight="1"/>
    <x:row r="51" ht="30" customHeight="1"/>
    <x:row r="52" ht="30" customHeight="1"/>
    <x:row r="53" ht="30" customHeight="1"/>
    <x:row r="54" ht="30" customHeight="1"/>
    <x:row r="55" ht="30" customHeight="1"/>
    <x:row r="56" ht="30" customHeight="1"/>
    <x:row r="57" ht="30" customHeight="1"/>
    <x:row r="58" ht="30" customHeight="1"/>
    <x:row r="59" ht="30" customHeight="1"/>
    <x:row r="60" ht="30" customHeight="1"/>
    <x:row r="61" ht="30" customHeight="1"/>
    <x:row r="62" ht="30" customHeight="1"/>
    <x:row r="63" ht="30" customHeight="1"/>
    <x:row r="64" ht="30" customHeight="1"/>
    <x:row r="65" ht="30" customHeight="1"/>
    <x:row r="66" ht="30" customHeight="1"/>
    <x:row r="67" ht="30" customHeight="1"/>
    <x:row r="68" ht="30" customHeight="1"/>
    <x:row r="69" ht="30" customHeight="1"/>
    <x:row r="70" ht="30" customHeight="1"/>
    <x:row r="71" ht="30" customHeight="1"/>
    <x:row r="72" ht="30" customHeight="1"/>
    <x:row r="73" ht="30" customHeight="1"/>
    <x:row r="74" ht="30" customHeight="1"/>
    <x:row r="75" ht="30" customHeight="1"/>
    <x:row r="76" ht="30" customHeight="1"/>
    <x:row r="77" ht="30" customHeight="1"/>
    <x:row r="78" ht="30" customHeight="1"/>
    <x:row r="79" ht="30" customHeight="1"/>
    <x:row r="80" ht="30" customHeight="1"/>
    <x:row r="81" ht="30" customHeight="1"/>
    <x:row r="82" ht="30" customHeight="1"/>
    <x:row r="83" ht="30" customHeight="1"/>
    <x:row r="84" ht="30" customHeight="1"/>
    <x:row r="85" ht="30" customHeight="1"/>
    <x:row r="86" ht="30" customHeight="1"/>
    <x:row r="87" ht="30" customHeight="1"/>
    <x:row r="88" ht="30" customHeight="1"/>
    <x:row r="89" ht="30" customHeight="1"/>
    <x:row r="90" ht="30" customHeight="1"/>
    <x:row r="91" ht="30" customHeight="1"/>
    <x:row r="92" ht="30" customHeight="1"/>
    <x:row r="93" ht="30" customHeight="1"/>
    <x:row r="94" ht="30" customHeight="1"/>
    <x:row r="95" ht="30" customHeight="1"/>
    <x:row r="96" ht="30" customHeight="1"/>
    <x:row r="97" ht="30" customHeight="1"/>
    <x:row r="98" ht="30" customHeight="1"/>
    <x:row r="99" ht="30" customHeight="1"/>
    <x:row r="100" ht="30" customHeight="1"/>
    <x:row r="101" ht="30" customHeight="1"/>
    <x:row r="102" ht="30" customHeight="1"/>
    <x:row r="103" ht="30" customHeight="1"/>
    <x:row r="104" ht="30" customHeight="1"/>
    <x:row r="105" ht="30" customHeight="1"/>
    <x:row r="106" ht="30" customHeight="1"/>
    <x:row r="107" ht="30" customHeight="1"/>
    <x:row r="108" ht="30" customHeight="1"/>
    <x:row r="109" ht="30" customHeight="1"/>
    <x:row r="110" ht="30" customHeight="1"/>
    <x:row r="111" ht="30" customHeight="1"/>
    <x:row r="112" ht="30" customHeight="1"/>
    <x:row r="113" ht="30" customHeight="1"/>
    <x:row r="114" ht="30" customHeight="1"/>
    <x:row r="115" ht="30" customHeight="1"/>
    <x:row r="116" ht="30" customHeight="1"/>
    <x:row r="117" ht="30" customHeight="1"/>
    <x:row r="118" ht="30" customHeight="1"/>
    <x:row r="119" ht="30" customHeight="1"/>
    <x:row r="120" ht="30" customHeight="1"/>
    <x:row r="121" ht="30" customHeight="1"/>
    <x:row r="122" ht="30" customHeight="1"/>
    <x:row r="123" ht="30" customHeight="1"/>
    <x:row r="124" ht="30" customHeight="1"/>
    <x:row r="125" ht="30" customHeight="1"/>
    <x:row r="126" ht="30" customHeight="1"/>
    <x:row r="127" ht="30" customHeight="1"/>
    <x:row r="128" ht="30" customHeight="1"/>
    <x:row r="129" ht="30" customHeight="1"/>
    <x:row r="130" ht="30" customHeight="1"/>
    <x:row r="131" ht="30" customHeight="1"/>
    <x:row r="132" ht="30" customHeight="1"/>
    <x:row r="133" ht="30" customHeight="1"/>
    <x:row r="134" ht="30" customHeight="1"/>
    <x:row r="135" ht="30" customHeight="1"/>
    <x:row r="136" ht="30" customHeight="1"/>
    <x:row r="137" ht="30" customHeight="1"/>
    <x:row r="138" ht="30" customHeight="1"/>
    <x:row r="139" ht="30" customHeight="1"/>
    <x:row r="140" ht="30" customHeight="1"/>
    <x:row r="141" ht="30" customHeight="1"/>
    <x:row r="142" ht="30" customHeight="1"/>
    <x:row r="143" ht="30" customHeight="1"/>
    <x:row r="144" ht="30" customHeight="1"/>
    <x:row r="145" ht="30" customHeight="1"/>
    <x:row r="146" ht="30" customHeight="1"/>
    <x:row r="147" ht="30" customHeight="1"/>
    <x:row r="148" ht="30" customHeight="1"/>
    <x:row r="149" ht="30" customHeight="1"/>
    <x:row r="150" ht="30" customHeight="1"/>
    <x:row r="151" ht="30" customHeight="1"/>
    <x:row r="152" ht="30" customHeight="1"/>
    <x:row r="153" ht="30" customHeight="1"/>
    <x:row r="154" ht="30" customHeight="1"/>
    <x:row r="155" ht="30" customHeight="1"/>
    <x:row r="156" ht="30" customHeight="1"/>
    <x:row r="157" ht="30" customHeight="1"/>
    <x:row r="158" ht="30" customHeight="1"/>
    <x:row r="159" ht="30" customHeight="1"/>
    <x:row r="160" ht="30" customHeight="1"/>
    <x:row r="161" ht="30" customHeight="1"/>
    <x:row r="162" ht="30" customHeight="1"/>
    <x:row r="163" ht="30" customHeight="1"/>
    <x:row r="164" ht="30" customHeight="1"/>
    <x:row r="165" ht="30" customHeight="1"/>
    <x:row r="166" ht="30" customHeight="1"/>
    <x:row r="167" ht="30" customHeight="1"/>
    <x:row r="168" ht="30" customHeight="1"/>
    <x:row r="169" ht="30" customHeight="1"/>
    <x:row r="170" ht="30" customHeight="1"/>
    <x:row r="171" ht="30" customHeight="1"/>
    <x:row r="172" ht="30" customHeight="1"/>
    <x:row r="173" ht="30" customHeight="1"/>
    <x:row r="174" ht="30" customHeight="1"/>
    <x:row r="175" ht="30" customHeight="1"/>
    <x:row r="176" ht="30" customHeight="1"/>
    <x:row r="177" ht="30" customHeight="1"/>
    <x:row r="178" ht="30" customHeight="1"/>
    <x:row r="179" ht="30" customHeight="1"/>
    <x:row r="180" ht="30" customHeight="1"/>
    <x:row r="181" ht="30" customHeight="1"/>
    <x:row r="182" ht="30" customHeight="1"/>
    <x:row r="183" ht="30" customHeight="1"/>
    <x:row r="184" ht="30" customHeight="1"/>
    <x:row r="185" ht="30" customHeight="1"/>
    <x:row r="186" ht="30" customHeight="1"/>
    <x:row r="187" ht="30" customHeight="1"/>
    <x:row r="188" ht="30" customHeight="1"/>
    <x:row r="189" ht="30" customHeight="1"/>
    <x:row r="190" ht="30" customHeight="1"/>
    <x:row r="191" ht="30" customHeight="1"/>
    <x:row r="192" ht="30" customHeight="1"/>
    <x:row r="193" ht="30" customHeight="1"/>
    <x:row r="194" ht="30" customHeight="1"/>
    <x:row r="195" ht="30" customHeight="1"/>
    <x:row r="196" ht="30" customHeight="1"/>
    <x:row r="197" ht="30" customHeight="1"/>
    <x:row r="198" ht="30" customHeight="1"/>
    <x:row r="199" ht="30" customHeight="1"/>
    <x:row r="200" ht="30" customHeight="1"/>
  </x:sheetData>
  <x:conditionalFormatting sqref="G2:G25">
    <x:cfRule type="colorScale" priority="1">
      <x:colorScale>
        <x:cfvo type="min"/>
        <x:cfvo type="percentile" val="50"/>
        <x:cfvo type="max"/>
        <x:color rgb="D9EAD3"/>
        <x:color rgb="FFF2CC"/>
        <x:color rgb="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32708db12b14f8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.440000534057617" hidden="0" customWidth="1"/>
    <x:col min="2" max="2" width="36" hidden="0" customWidth="1"/>
    <x:col min="3" max="3" width="28.670000076293945" hidden="0" customWidth="1"/>
    <x:col min="4" max="4" width="11.979999542236328" hidden="0" customWidth="1"/>
    <x:col min="5" max="5" width="11.3100004196167" hidden="0" customWidth="1"/>
    <x:col min="6" max="6" width="7.269999980926514" hidden="0" customWidth="1"/>
    <x:col min="7" max="7" width="9.960000038146973" hidden="0" customWidth="1"/>
    <x:col min="8" max="8" width="10.09000015258789" hidden="0" customWidth="1"/>
    <x:col min="9" max="9" width="10.5" hidden="0" customWidth="1"/>
    <x:col min="10" max="10" width="4.039999961853027" hidden="0" customWidth="1"/>
    <x:col min="11" max="11" width="52" hidden="0" customWidth="1"/>
  </x:cols>
  <x:sheetData>
    <x:row r="1" ht="30" customHeight="1">
      <x:c r="A1" s="18" t="str">
        <x:v>Kriterium</x:v>
      </x:c>
      <x:c r="B1" s="18" t="str">
        <x:v>Gewicht</x:v>
      </x:c>
      <x:c r="C1" s="18" t="str">
        <x:v>Logik</x:v>
      </x:c>
    </x:row>
    <x:row r="2" ht="30" customHeight="1">
      <x:c r="A2" t="str">
        <x:v>Preis je m²</x:v>
      </x:c>
      <x:c r="B2" s="53" t="n">
        <x:v>0.25</x:v>
      </x:c>
      <x:c r="C2" t="str">
        <x:v>niedriger ist besser</x:v>
      </x:c>
    </x:row>
    <x:row r="3" ht="30" customHeight="1">
      <x:c r="A3" t="str">
        <x:v>Ø Fahrzeit</x:v>
      </x:c>
      <x:c r="B3" s="53" t="n">
        <x:v>0.25</x:v>
      </x:c>
      <x:c r="C3" t="str">
        <x:v>niedriger ist besser</x:v>
      </x:c>
    </x:row>
    <x:row r="4" ht="30" customHeight="1">
      <x:c r="A4" t="str">
        <x:v>Nähe Skigebiet</x:v>
      </x:c>
      <x:c r="B4" s="53" t="n">
        <x:v>0.2</x:v>
      </x:c>
      <x:c r="C4" t="str">
        <x:v>niedriger ist besser</x:v>
      </x:c>
    </x:row>
    <x:row r="5" ht="30" customHeight="1">
      <x:c r="A5" t="str">
        <x:v>Ferien-/Tourismusbasis</x:v>
      </x:c>
      <x:c r="B5" s="53" t="n">
        <x:v>0.2</x:v>
      </x:c>
      <x:c r="C5" t="str">
        <x:v>Gute Grundlage &gt; Potenzial &gt; unklar</x:v>
      </x:c>
    </x:row>
    <x:row r="6" ht="30" customHeight="1">
      <x:c r="A6" t="str">
        <x:v>Fläche</x:v>
      </x:c>
      <x:c r="B6" s="53" t="n">
        <x:v>0.1</x:v>
      </x:c>
      <x:c r="C6" t="str">
        <x:v>größer bis 280 m² gedeckelt</x:v>
      </x:c>
    </x:row>
    <x:row r="7" ht="30" customHeight="1"/>
    <x:row r="8" ht="42" customHeight="1">
      <x:c r="A8" s="18" t="str">
        <x:v>ID</x:v>
      </x:c>
      <x:c r="B8" s="18" t="str">
        <x:v>Objekt</x:v>
      </x:c>
      <x:c r="C8" s="18" t="str">
        <x:v>Ort</x:v>
      </x:c>
      <x:c r="D8" s="18" t="str">
        <x:v>Preis/m² Score</x:v>
      </x:c>
      <x:c r="E8" s="18" t="str">
        <x:v>Fahrzeit Score</x:v>
      </x:c>
      <x:c r="F8" s="18" t="str">
        <x:v>Ski Score</x:v>
      </x:c>
      <x:c r="G8" s="18" t="str">
        <x:v>Ferien Score</x:v>
      </x:c>
      <x:c r="H8" s="18" t="str">
        <x:v>Fläche Score</x:v>
      </x:c>
      <x:c r="I8" s="18" t="str">
        <x:v>Gesamtscore</x:v>
      </x:c>
      <x:c r="J8" s="18" t="str">
        <x:v>Rang</x:v>
      </x:c>
      <x:c r="K8" s="18" t="str">
        <x:v>Kommentar</x:v>
      </x:c>
    </x:row>
    <x:row r="9" ht="30" customHeight="1">
      <x:c r="A9" s="10" t="str">
        <x:v>IS24-165475678</x:v>
      </x:c>
      <x:c r="B9" s="10" t="str">
        <x:v>Luxuriöses Traumhaus in Tirol (Neustift / Kampl)</x:v>
      </x:c>
      <x:c r="C9" s="10" t="str">
        <x:v>Telfes im Stubai / Stubaital</x:v>
      </x:c>
      <x:c r="D9" s="59" t="n">
        <x:f>IFERROR(100*(MAX(Immobilien_Vergleich!$I$2:$I$9)-Immobilien_Vergleich!I2)/(MAX(Immobilien_Vergleich!$I$2:$I$9)-MIN(Immobilien_Vergleich!$I$2:$I$9)),0)</x:f>
        <x:v>9.667807089565105</x:v>
      </x:c>
      <x:c r="E9" s="59" t="n">
        <x:f>IFERROR(100*(MAX(Immobilien_Vergleich!$X$2:$X$9)-Immobilien_Vergleich!X2)/(MAX(Immobilien_Vergleich!$X$2:$X$9)-MIN(Immobilien_Vergleich!$X$2:$X$9)),0)</x:f>
        <x:v>85.83333333333331</x:v>
      </x:c>
      <x:c r="F9" s="59" t="n">
        <x:f>IFERROR(100*(MAX(Immobilien_Vergleich!$Z$2:$Z$9)-Immobilien_Vergleich!Z2)/(MAX(Immobilien_Vergleich!$Z$2:$Z$9)-MIN(Immobilien_Vergleich!$Z$2:$Z$9)),0)</x:f>
        <x:v>90.47619047619048</x:v>
      </x:c>
      <x:c r="G9" s="59" t="n">
        <x:f>IF(ISNUMBER(SEARCH("Gute",Immobilien_Vergleich!AA2)),100,IF(ISNUMBER(SEARCH("Potenzial",Immobilien_Vergleich!AA2)),70,25))</x:f>
        <x:v>70</x:v>
      </x:c>
      <x:c r="H9" s="59" t="n">
        <x:f>MIN(100,Immobilien_Vergleich!G2/280*100)</x:f>
        <x:v>100</x:v>
      </x:c>
      <x:c r="I9" s="59" t="n">
        <x:f>D9*$B$2+E9*$B$3+F9*$B$4+G9*$B$5+H9*$B$6</x:f>
        <x:v>65.9705232009627</x:v>
      </x:c>
      <x:c r="J9" s="60" t="n">
        <x:f>RANK(I9,$I$9:$I$16,0)</x:f>
        <x:v>2</x:v>
      </x:c>
      <x:c r="K9" s="10" t="str">
        <x:v>Hoher absoluter Kaufpreis; Energieausweis fehlt; Exposé-Ort/Titel wirken uneinheitlich; touristische Nutzung rechtlich prüfen.</x:v>
      </x:c>
    </x:row>
    <x:row r="10" ht="30" customHeight="1">
      <x:c r="A10" s="10" t="str">
        <x:v>IS24-167388287</x:v>
      </x:c>
      <x:c r="B10" s="10" t="str">
        <x:v>Mehr-Generationenhaus mit viel Platz für Familien</x:v>
      </x:c>
      <x:c r="C10" s="10" t="str">
        <x:v>Flaurling</x:v>
      </x:c>
      <x:c r="D10" s="59" t="n">
        <x:f>IFERROR(100*(MAX(Immobilien_Vergleich!$I$2:$I$9)-Immobilien_Vergleich!I3)/(MAX(Immobilien_Vergleich!$I$2:$I$9)-MIN(Immobilien_Vergleich!$I$2:$I$9)),0)</x:f>
        <x:v>100</x:v>
      </x:c>
      <x:c r="E10" s="59" t="n">
        <x:f>IFERROR(100*(MAX(Immobilien_Vergleich!$X$2:$X$9)-Immobilien_Vergleich!X3)/(MAX(Immobilien_Vergleich!$X$2:$X$9)-MIN(Immobilien_Vergleich!$X$2:$X$9)),0)</x:f>
        <x:v>83.33333333333333</x:v>
      </x:c>
      <x:c r="F10" s="59" t="n">
        <x:f>IFERROR(100*(MAX(Immobilien_Vergleich!$Z$2:$Z$9)-Immobilien_Vergleich!Z3)/(MAX(Immobilien_Vergleich!$Z$2:$Z$9)-MIN(Immobilien_Vergleich!$Z$2:$Z$9)),0)</x:f>
        <x:v>0</x:v>
      </x:c>
      <x:c r="G10" s="59" t="n">
        <x:f>IF(ISNUMBER(SEARCH("Gute",Immobilien_Vergleich!AA3)),100,IF(ISNUMBER(SEARCH("Potenzial",Immobilien_Vergleich!AA3)),70,25))</x:f>
        <x:v>25</x:v>
      </x:c>
      <x:c r="H10" s="59" t="n">
        <x:f>MIN(100,Immobilien_Vergleich!G3/280*100)</x:f>
        <x:v>100</x:v>
      </x:c>
      <x:c r="I10" s="59" t="n">
        <x:f>D10*$B$2+E10*$B$3+F10*$B$4+G10*$B$5+H10*$B$6</x:f>
        <x:v>60.83333333333333</x:v>
      </x:c>
      <x:c r="J10" s="60" t="n">
        <x:f>RANK(I10,$I$9:$I$16,0)</x:f>
        <x:v>3</x:v>
      </x:c>
      <x:c r="K10" s="10" t="str">
        <x:v>Grundstück im Exposé mit 0 m², offensichtlich klärungsbedürftig; Energieausweis fehlt; Zimmerzahl nicht sauber ausgewiesen.</x:v>
      </x:c>
    </x:row>
    <x:row r="11" ht="30" customHeight="1">
      <x:c r="A11" s="10" t="str">
        <x:v>IS24AT-685e564</x:v>
      </x:c>
      <x:c r="B11" s="10" t="str">
        <x:v>Haus in Omes/Axams mit Garten, Garage und Bergblick</x:v>
      </x:c>
      <x:c r="C11" s="10" t="str">
        <x:v>Omes / Axams</x:v>
      </x:c>
      <x:c r="D11" s="59" t="n">
        <x:f>IFERROR(100*(MAX(Immobilien_Vergleich!$I$2:$I$9)-Immobilien_Vergleich!I4)/(MAX(Immobilien_Vergleich!$I$2:$I$9)-MIN(Immobilien_Vergleich!$I$2:$I$9)),0)</x:f>
        <x:v>0</x:v>
      </x:c>
      <x:c r="E11" s="59" t="n">
        <x:f>IFERROR(100*(MAX(Immobilien_Vergleich!$X$2:$X$9)-Immobilien_Vergleich!X4)/(MAX(Immobilien_Vergleich!$X$2:$X$9)-MIN(Immobilien_Vergleich!$X$2:$X$9)),0)</x:f>
        <x:v>83.33333333333333</x:v>
      </x:c>
      <x:c r="F11" s="59" t="n">
        <x:f>IFERROR(100*(MAX(Immobilien_Vergleich!$Z$2:$Z$9)-Immobilien_Vergleich!Z4)/(MAX(Immobilien_Vergleich!$Z$2:$Z$9)-MIN(Immobilien_Vergleich!$Z$2:$Z$9)),0)</x:f>
        <x:v>33.333333333333336</x:v>
      </x:c>
      <x:c r="G11" s="59" t="n">
        <x:f>IF(ISNUMBER(SEARCH("Gute",Immobilien_Vergleich!AA4)),100,IF(ISNUMBER(SEARCH("Potenzial",Immobilien_Vergleich!AA4)),70,25))</x:f>
        <x:v>25</x:v>
      </x:c>
      <x:c r="H11" s="59" t="n">
        <x:f>MIN(100,Immobilien_Vergleich!G4/280*100)</x:f>
        <x:v>64.28571428571429</x:v>
      </x:c>
      <x:c r="I11" s="59" t="n">
        <x:f>D11*$B$2+E11*$B$3+F11*$B$4+G11*$B$5+H11*$B$6</x:f>
        <x:v>38.92857142857143</x:v>
      </x:c>
      <x:c r="J11" s="60" t="n">
        <x:f>RANK(I11,$I$9:$I$16,0)</x:f>
        <x:v>7</x:v>
      </x:c>
      <x:c r="K11" s="10" t="str">
        <x:v>Renovierungsbedürftig; Öl; Beschreibung enthält widersprüchlichen Preis 725.000 € vs. Inserat 690.000 €.</x:v>
      </x:c>
    </x:row>
    <x:row r="12" ht="30" customHeight="1">
      <x:c r="A12" s="10" t="str">
        <x:v>IS24AT-69f8a3</x:v>
      </x:c>
      <x:c r="B12" s="10" t="str">
        <x:v>Einfamilienhaus in Faggen – Wohnen mit Charme und Ausblick</x:v>
      </x:c>
      <x:c r="C12" s="10" t="str">
        <x:v>Faggen</x:v>
      </x:c>
      <x:c r="D12" s="59" t="n">
        <x:f>IFERROR(100*(MAX(Immobilien_Vergleich!$I$2:$I$9)-Immobilien_Vergleich!I5)/(MAX(Immobilien_Vergleich!$I$2:$I$9)-MIN(Immobilien_Vergleich!$I$2:$I$9)),0)</x:f>
        <x:v>12.256688544859774</x:v>
      </x:c>
      <x:c r="E12" s="59" t="n">
        <x:f>IFERROR(100*(MAX(Immobilien_Vergleich!$X$2:$X$9)-Immobilien_Vergleich!X5)/(MAX(Immobilien_Vergleich!$X$2:$X$9)-MIN(Immobilien_Vergleich!$X$2:$X$9)),0)</x:f>
        <x:v>29.166666666666668</x:v>
      </x:c>
      <x:c r="F12" s="59" t="n">
        <x:f>IFERROR(100*(MAX(Immobilien_Vergleich!$Z$2:$Z$9)-Immobilien_Vergleich!Z5)/(MAX(Immobilien_Vergleich!$Z$2:$Z$9)-MIN(Immobilien_Vergleich!$Z$2:$Z$9)),0)</x:f>
        <x:v>23.80952380952381</x:v>
      </x:c>
      <x:c r="G12" s="59" t="n">
        <x:f>IF(ISNUMBER(SEARCH("Gute",Immobilien_Vergleich!AA5)),100,IF(ISNUMBER(SEARCH("Potenzial",Immobilien_Vergleich!AA5)),70,25))</x:f>
        <x:v>25</x:v>
      </x:c>
      <x:c r="H12" s="59" t="n">
        <x:f>MIN(100,Immobilien_Vergleich!G5/280*100)</x:f>
        <x:v>39.285714285714285</x:v>
      </x:c>
      <x:c r="I12" s="59" t="n">
        <x:f>D12*$B$2+E12*$B$3+F12*$B$4+G12*$B$5+H12*$B$6</x:f>
        <x:v>24.046314993357804</x:v>
      </x:c>
      <x:c r="J12" s="60" t="n">
        <x:f>RANK(I12,$I$9:$I$16,0)</x:f>
        <x:v>8</x:v>
      </x:c>
      <x:c r="K12" s="10" t="str">
        <x:v>Kleines Grundstück; Öl; eher klein für 6 Eigentümer; touristische Nutzung unklar.</x:v>
      </x:c>
    </x:row>
    <x:row r="13" ht="30" customHeight="1">
      <x:c r="A13" s="10" t="str">
        <x:v>IS24AT-69f2ef</x:v>
      </x:c>
      <x:c r="B13" s="10" t="str">
        <x:v>Waldchalet Pfunds – provisionsfrei</x:v>
      </x:c>
      <x:c r="C13" s="10" t="str">
        <x:v>Pfunds</x:v>
      </x:c>
      <x:c r="D13" s="59" t="n">
        <x:f>IFERROR(100*(MAX(Immobilien_Vergleich!$I$2:$I$9)-Immobilien_Vergleich!I6)/(MAX(Immobilien_Vergleich!$I$2:$I$9)-MIN(Immobilien_Vergleich!$I$2:$I$9)),0)</x:f>
        <x:v>59.45208619973893</x:v>
      </x:c>
      <x:c r="E13" s="59" t="n">
        <x:f>IFERROR(100*(MAX(Immobilien_Vergleich!$X$2:$X$9)-Immobilien_Vergleich!X6)/(MAX(Immobilien_Vergleich!$X$2:$X$9)-MIN(Immobilien_Vergleich!$X$2:$X$9)),0)</x:f>
        <x:v>0</x:v>
      </x:c>
      <x:c r="F13" s="59" t="n">
        <x:f>IFERROR(100*(MAX(Immobilien_Vergleich!$Z$2:$Z$9)-Immobilien_Vergleich!Z6)/(MAX(Immobilien_Vergleich!$Z$2:$Z$9)-MIN(Immobilien_Vergleich!$Z$2:$Z$9)),0)</x:f>
        <x:v>23.80952380952381</x:v>
      </x:c>
      <x:c r="G13" s="59" t="n">
        <x:f>IF(ISNUMBER(SEARCH("Gute",Immobilien_Vergleich!AA6)),100,IF(ISNUMBER(SEARCH("Potenzial",Immobilien_Vergleich!AA6)),70,25))</x:f>
        <x:v>100</x:v>
      </x:c>
      <x:c r="H13" s="59" t="n">
        <x:f>MIN(100,Immobilien_Vergleich!G6/280*100)</x:f>
        <x:v>100</x:v>
      </x:c>
      <x:c r="I13" s="59" t="n">
        <x:f>D13*$B$2+E13*$B$3+F13*$B$4+G13*$B$5+H13*$B$6</x:f>
        <x:v>49.624926311839495</x:v>
      </x:c>
      <x:c r="J13" s="60" t="n">
        <x:f>RANK(I13,$I$9:$I$16,0)</x:f>
        <x:v>5</x:v>
      </x:c>
      <x:c r="K13" s="10" t="str">
        <x:v>Schlechter Energiekennwert; Öl; Baujahr 1974; Stellplatzanzahl klären; Investitionsbedarf energetisch möglich.</x:v>
      </x:c>
    </x:row>
    <x:row r="14" ht="30" customHeight="1">
      <x:c r="A14" s="10" t="str">
        <x:v>IS24AT-68025d</x:v>
      </x:c>
      <x:c r="B14" s="10" t="str">
        <x:v>Über den Dächern von Ötz – Haus mit traumhafter Aussicht</x:v>
      </x:c>
      <x:c r="C14" s="10" t="str">
        <x:v>Oetz / Ötz</x:v>
      </x:c>
      <x:c r="D14" s="59" t="n">
        <x:f>IFERROR(100*(MAX(Immobilien_Vergleich!$I$2:$I$9)-Immobilien_Vergleich!I7)/(MAX(Immobilien_Vergleich!$I$2:$I$9)-MIN(Immobilien_Vergleich!$I$2:$I$9)),0)</x:f>
        <x:v>6.154674430420994</x:v>
      </x:c>
      <x:c r="E14" s="59" t="n">
        <x:f>IFERROR(100*(MAX(Immobilien_Vergleich!$X$2:$X$9)-Immobilien_Vergleich!X7)/(MAX(Immobilien_Vergleich!$X$2:$X$9)-MIN(Immobilien_Vergleich!$X$2:$X$9)),0)</x:f>
        <x:v>79.16666666666667</x:v>
      </x:c>
      <x:c r="F14" s="59" t="n">
        <x:f>IFERROR(100*(MAX(Immobilien_Vergleich!$Z$2:$Z$9)-Immobilien_Vergleich!Z7)/(MAX(Immobilien_Vergleich!$Z$2:$Z$9)-MIN(Immobilien_Vergleich!$Z$2:$Z$9)),0)</x:f>
        <x:v>100</x:v>
      </x:c>
      <x:c r="G14" s="59" t="n">
        <x:f>IF(ISNUMBER(SEARCH("Gute",Immobilien_Vergleich!AA7)),100,IF(ISNUMBER(SEARCH("Potenzial",Immobilien_Vergleich!AA7)),70,25))</x:f>
        <x:v>70</x:v>
      </x:c>
      <x:c r="H14" s="59" t="n">
        <x:f>MIN(100,Immobilien_Vergleich!G7/280*100)</x:f>
        <x:v>40.714285714285715</x:v>
      </x:c>
      <x:c r="I14" s="59" t="n">
        <x:f>D14*$B$2+E14*$B$3+F14*$B$4+G14*$B$5+H14*$B$6</x:f>
        <x:v>59.401763845700486</x:v>
      </x:c>
      <x:c r="J14" s="60" t="n">
        <x:f>RANK(I14,$I$9:$I$16,0)</x:f>
        <x:v>4</x:v>
      </x:c>
      <x:c r="K14" s="10" t="str">
        <x:v>Nur 114 m² Wohnfläche; Baujahr 1955; Gas/Ofen; Energieausweis offen; für 6 Eigentümer wahrscheinlich eng.</x:v>
      </x:c>
    </x:row>
    <x:row r="15" ht="30" customHeight="1">
      <x:c r="A15" s="10" t="str">
        <x:v>IS24AT-68d0d9</x:v>
      </x:c>
      <x:c r="B15" s="10" t="str">
        <x:v>Familienglück mit Panoramablick – Haus im vorderen Ötztal</x:v>
      </x:c>
      <x:c r="C15" s="10" t="str">
        <x:v>Ötz / Taxegg</x:v>
      </x:c>
      <x:c r="D15" s="59" t="n">
        <x:f>IFERROR(100*(MAX(Immobilien_Vergleich!$I$2:$I$9)-Immobilien_Vergleich!I8)/(MAX(Immobilien_Vergleich!$I$2:$I$9)-MIN(Immobilien_Vergleich!$I$2:$I$9)),0)</x:f>
        <x:v>9.291144864814203</x:v>
      </x:c>
      <x:c r="E15" s="59" t="n">
        <x:f>IFERROR(100*(MAX(Immobilien_Vergleich!$X$2:$X$9)-Immobilien_Vergleich!X8)/(MAX(Immobilien_Vergleich!$X$2:$X$9)-MIN(Immobilien_Vergleich!$X$2:$X$9)),0)</x:f>
        <x:v>79.16666666666667</x:v>
      </x:c>
      <x:c r="F15" s="59" t="n">
        <x:f>IFERROR(100*(MAX(Immobilien_Vergleich!$Z$2:$Z$9)-Immobilien_Vergleich!Z8)/(MAX(Immobilien_Vergleich!$Z$2:$Z$9)-MIN(Immobilien_Vergleich!$Z$2:$Z$9)),0)</x:f>
        <x:v>80.95238095238095</x:v>
      </x:c>
      <x:c r="G15" s="59" t="n">
        <x:f>IF(ISNUMBER(SEARCH("Gute",Immobilien_Vergleich!AA8)),100,IF(ISNUMBER(SEARCH("Potenzial",Immobilien_Vergleich!AA8)),70,25))</x:f>
        <x:v>25</x:v>
      </x:c>
      <x:c r="H15" s="59" t="n">
        <x:f>MIN(100,Immobilien_Vergleich!G8/280*100)</x:f>
        <x:v>59.28928571428571</x:v>
      </x:c>
      <x:c r="I15" s="59" t="n">
        <x:f>D15*$B$2+E15*$B$3+F15*$B$4+G15*$B$5+H15*$B$6</x:f>
        <x:v>49.23385764477498</x:v>
      </x:c>
      <x:c r="J15" s="60" t="n">
        <x:f>RANK(I15,$I$9:$I$16,0)</x:f>
        <x:v>6</x:v>
      </x:c>
      <x:c r="K15" s="10" t="str">
        <x:v>Doppelhaushälfte; kleines Grundstück; Öl; touristische Nutzung unklar.</x:v>
      </x:c>
    </x:row>
    <x:row r="16" ht="30" customHeight="1">
      <x:c r="A16" s="10" t="str">
        <x:v>IS24AT-669a65</x:v>
      </x:c>
      <x:c r="B16" s="10" t="str">
        <x:v>Wohnhaus am Eingang des Ötztals</x:v>
      </x:c>
      <x:c r="C16" s="10" t="str">
        <x:v>Sautens</x:v>
      </x:c>
      <x:c r="D16" s="59" t="n">
        <x:f>IFERROR(100*(MAX(Immobilien_Vergleich!$I$2:$I$9)-Immobilien_Vergleich!I9)/(MAX(Immobilien_Vergleich!$I$2:$I$9)-MIN(Immobilien_Vergleich!$I$2:$I$9)),0)</x:f>
        <x:v>53.7128220316966</x:v>
      </x:c>
      <x:c r="E16" s="59" t="n">
        <x:f>IFERROR(100*(MAX(Immobilien_Vergleich!$X$2:$X$9)-Immobilien_Vergleich!X9)/(MAX(Immobilien_Vergleich!$X$2:$X$9)-MIN(Immobilien_Vergleich!$X$2:$X$9)),0)</x:f>
        <x:v>100</x:v>
      </x:c>
      <x:c r="F16" s="59" t="n">
        <x:f>IFERROR(100*(MAX(Immobilien_Vergleich!$Z$2:$Z$9)-Immobilien_Vergleich!Z9)/(MAX(Immobilien_Vergleich!$Z$2:$Z$9)-MIN(Immobilien_Vergleich!$Z$2:$Z$9)),0)</x:f>
        <x:v>80.95238095238095</x:v>
      </x:c>
      <x:c r="G16" s="59" t="n">
        <x:f>IF(ISNUMBER(SEARCH("Gute",Immobilien_Vergleich!AA9)),100,IF(ISNUMBER(SEARCH("Potenzial",Immobilien_Vergleich!AA9)),70,25))</x:f>
        <x:v>70</x:v>
      </x:c>
      <x:c r="H16" s="59" t="n">
        <x:f>MIN(100,Immobilien_Vergleich!G9/280*100)</x:f>
        <x:v>83.92857142857143</x:v>
      </x:c>
      <x:c r="I16" s="59" t="n">
        <x:f>D16*$B$2+E16*$B$3+F16*$B$4+G16*$B$5+H16*$B$6</x:f>
        <x:v>77.01153884125748</x:v>
      </x:c>
      <x:c r="J16" s="60" t="n">
        <x:f>RANK(I16,$I$9:$I$16,0)</x:f>
        <x:v>1</x:v>
      </x:c>
      <x:c r="K16" s="10" t="str">
        <x:v>Wohnrecht im 2. OG explizit erwähnt; Stellplatzangaben widersprüchlich; Energieausweis offen; Baujahr fehlt.</x:v>
      </x:c>
    </x:row>
    <x:row r="17" ht="30" customHeight="1"/>
    <x:row r="18" ht="30" customHeight="1"/>
    <x:row r="19" ht="30" customHeight="1"/>
    <x:row r="20" ht="30" customHeight="1"/>
    <x:row r="21" ht="30" customHeight="1"/>
    <x:row r="22" ht="30" customHeight="1"/>
    <x:row r="23" ht="30" customHeight="1"/>
    <x:row r="24" ht="30" customHeight="1"/>
    <x:row r="25" ht="30" customHeight="1"/>
    <x:row r="26" ht="30" customHeight="1"/>
    <x:row r="27" ht="30" customHeight="1"/>
    <x:row r="28" ht="30" customHeight="1"/>
    <x:row r="29" ht="30" customHeight="1"/>
    <x:row r="30" ht="30" customHeight="1"/>
    <x:row r="31" ht="30" customHeight="1"/>
    <x:row r="32" ht="30" customHeight="1"/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  <x:row r="41" ht="30" customHeight="1"/>
    <x:row r="42" ht="30" customHeight="1"/>
    <x:row r="43" ht="30" customHeight="1"/>
    <x:row r="44" ht="30" customHeight="1"/>
    <x:row r="45" ht="30" customHeight="1"/>
    <x:row r="46" ht="30" customHeight="1"/>
    <x:row r="47" ht="30" customHeight="1"/>
    <x:row r="48" ht="30" customHeight="1"/>
    <x:row r="49" ht="30" customHeight="1"/>
    <x:row r="50" ht="30" customHeight="1"/>
    <x:row r="51" ht="30" customHeight="1"/>
    <x:row r="52" ht="30" customHeight="1"/>
    <x:row r="53" ht="30" customHeight="1"/>
    <x:row r="54" ht="30" customHeight="1"/>
    <x:row r="55" ht="30" customHeight="1"/>
    <x:row r="56" ht="30" customHeight="1"/>
    <x:row r="57" ht="30" customHeight="1"/>
    <x:row r="58" ht="30" customHeight="1"/>
    <x:row r="59" ht="30" customHeight="1"/>
    <x:row r="60" ht="30" customHeight="1"/>
    <x:row r="61" ht="30" customHeight="1"/>
    <x:row r="62" ht="30" customHeight="1"/>
    <x:row r="63" ht="30" customHeight="1"/>
    <x:row r="64" ht="30" customHeight="1"/>
    <x:row r="65" ht="30" customHeight="1"/>
    <x:row r="66" ht="30" customHeight="1"/>
    <x:row r="67" ht="30" customHeight="1"/>
    <x:row r="68" ht="30" customHeight="1"/>
    <x:row r="69" ht="30" customHeight="1"/>
    <x:row r="70" ht="30" customHeight="1"/>
    <x:row r="71" ht="30" customHeight="1"/>
    <x:row r="72" ht="30" customHeight="1"/>
    <x:row r="73" ht="30" customHeight="1"/>
    <x:row r="74" ht="30" customHeight="1"/>
    <x:row r="75" ht="30" customHeight="1"/>
    <x:row r="76" ht="30" customHeight="1"/>
    <x:row r="77" ht="30" customHeight="1"/>
    <x:row r="78" ht="30" customHeight="1"/>
    <x:row r="79" ht="30" customHeight="1"/>
    <x:row r="80" ht="30" customHeight="1"/>
    <x:row r="81" ht="30" customHeight="1"/>
    <x:row r="82" ht="30" customHeight="1"/>
    <x:row r="83" ht="30" customHeight="1"/>
    <x:row r="84" ht="30" customHeight="1"/>
    <x:row r="85" ht="30" customHeight="1"/>
    <x:row r="86" ht="30" customHeight="1"/>
    <x:row r="87" ht="30" customHeight="1"/>
    <x:row r="88" ht="30" customHeight="1"/>
    <x:row r="89" ht="30" customHeight="1"/>
    <x:row r="90" ht="30" customHeight="1"/>
    <x:row r="91" ht="30" customHeight="1"/>
    <x:row r="92" ht="30" customHeight="1"/>
    <x:row r="93" ht="30" customHeight="1"/>
    <x:row r="94" ht="30" customHeight="1"/>
    <x:row r="95" ht="30" customHeight="1"/>
    <x:row r="96" ht="30" customHeight="1"/>
    <x:row r="97" ht="30" customHeight="1"/>
    <x:row r="98" ht="30" customHeight="1"/>
    <x:row r="99" ht="30" customHeight="1"/>
    <x:row r="100" ht="30" customHeight="1"/>
    <x:row r="101" ht="30" customHeight="1"/>
    <x:row r="102" ht="30" customHeight="1"/>
    <x:row r="103" ht="30" customHeight="1"/>
    <x:row r="104" ht="30" customHeight="1"/>
    <x:row r="105" ht="30" customHeight="1"/>
    <x:row r="106" ht="30" customHeight="1"/>
    <x:row r="107" ht="30" customHeight="1"/>
    <x:row r="108" ht="30" customHeight="1"/>
    <x:row r="109" ht="30" customHeight="1"/>
    <x:row r="110" ht="30" customHeight="1"/>
    <x:row r="111" ht="30" customHeight="1"/>
    <x:row r="112" ht="30" customHeight="1"/>
    <x:row r="113" ht="30" customHeight="1"/>
    <x:row r="114" ht="30" customHeight="1"/>
    <x:row r="115" ht="30" customHeight="1"/>
    <x:row r="116" ht="30" customHeight="1"/>
    <x:row r="117" ht="30" customHeight="1"/>
    <x:row r="118" ht="30" customHeight="1"/>
    <x:row r="119" ht="30" customHeight="1"/>
    <x:row r="120" ht="30" customHeight="1"/>
    <x:row r="121" ht="30" customHeight="1"/>
    <x:row r="122" ht="30" customHeight="1"/>
    <x:row r="123" ht="30" customHeight="1"/>
    <x:row r="124" ht="30" customHeight="1"/>
    <x:row r="125" ht="30" customHeight="1"/>
    <x:row r="126" ht="30" customHeight="1"/>
    <x:row r="127" ht="30" customHeight="1"/>
    <x:row r="128" ht="30" customHeight="1"/>
    <x:row r="129" ht="30" customHeight="1"/>
    <x:row r="130" ht="30" customHeight="1"/>
    <x:row r="131" ht="30" customHeight="1"/>
    <x:row r="132" ht="30" customHeight="1"/>
    <x:row r="133" ht="30" customHeight="1"/>
    <x:row r="134" ht="30" customHeight="1"/>
    <x:row r="135" ht="30" customHeight="1"/>
    <x:row r="136" ht="30" customHeight="1"/>
    <x:row r="137" ht="30" customHeight="1"/>
    <x:row r="138" ht="30" customHeight="1"/>
    <x:row r="139" ht="30" customHeight="1"/>
    <x:row r="140" ht="30" customHeight="1"/>
    <x:row r="141" ht="30" customHeight="1"/>
    <x:row r="142" ht="30" customHeight="1"/>
    <x:row r="143" ht="30" customHeight="1"/>
    <x:row r="144" ht="30" customHeight="1"/>
    <x:row r="145" ht="30" customHeight="1"/>
    <x:row r="146" ht="30" customHeight="1"/>
    <x:row r="147" ht="30" customHeight="1"/>
    <x:row r="148" ht="30" customHeight="1"/>
    <x:row r="149" ht="30" customHeight="1"/>
    <x:row r="150" ht="30" customHeight="1"/>
    <x:row r="151" ht="30" customHeight="1"/>
    <x:row r="152" ht="30" customHeight="1"/>
    <x:row r="153" ht="30" customHeight="1"/>
    <x:row r="154" ht="30" customHeight="1"/>
    <x:row r="155" ht="30" customHeight="1"/>
    <x:row r="156" ht="30" customHeight="1"/>
    <x:row r="157" ht="30" customHeight="1"/>
    <x:row r="158" ht="30" customHeight="1"/>
    <x:row r="159" ht="30" customHeight="1"/>
    <x:row r="160" ht="30" customHeight="1"/>
    <x:row r="161" ht="30" customHeight="1"/>
    <x:row r="162" ht="30" customHeight="1"/>
    <x:row r="163" ht="30" customHeight="1"/>
    <x:row r="164" ht="30" customHeight="1"/>
    <x:row r="165" ht="30" customHeight="1"/>
    <x:row r="166" ht="30" customHeight="1"/>
    <x:row r="167" ht="30" customHeight="1"/>
    <x:row r="168" ht="30" customHeight="1"/>
    <x:row r="169" ht="30" customHeight="1"/>
    <x:row r="170" ht="30" customHeight="1"/>
    <x:row r="171" ht="30" customHeight="1"/>
    <x:row r="172" ht="30" customHeight="1"/>
    <x:row r="173" ht="30" customHeight="1"/>
    <x:row r="174" ht="30" customHeight="1"/>
    <x:row r="175" ht="30" customHeight="1"/>
    <x:row r="176" ht="30" customHeight="1"/>
    <x:row r="177" ht="30" customHeight="1"/>
    <x:row r="178" ht="30" customHeight="1"/>
    <x:row r="179" ht="30" customHeight="1"/>
    <x:row r="180" ht="30" customHeight="1"/>
    <x:row r="181" ht="30" customHeight="1"/>
    <x:row r="182" ht="30" customHeight="1"/>
    <x:row r="183" ht="30" customHeight="1"/>
    <x:row r="184" ht="30" customHeight="1"/>
    <x:row r="185" ht="30" customHeight="1"/>
    <x:row r="186" ht="30" customHeight="1"/>
    <x:row r="187" ht="30" customHeight="1"/>
    <x:row r="188" ht="30" customHeight="1"/>
    <x:row r="189" ht="30" customHeight="1"/>
    <x:row r="190" ht="30" customHeight="1"/>
    <x:row r="191" ht="30" customHeight="1"/>
    <x:row r="192" ht="30" customHeight="1"/>
    <x:row r="193" ht="30" customHeight="1"/>
    <x:row r="194" ht="30" customHeight="1"/>
    <x:row r="195" ht="30" customHeight="1"/>
    <x:row r="196" ht="30" customHeight="1"/>
    <x:row r="197" ht="30" customHeight="1"/>
    <x:row r="198" ht="30" customHeight="1"/>
    <x:row r="199" ht="30" customHeight="1"/>
    <x:row r="200" ht="30" customHeight="1"/>
  </x:sheetData>
  <x:conditionalFormatting sqref="I9:I16">
    <x:cfRule type="dataBar" priority="1">
      <x:dataBar>
        <x:cfvo type="min"/>
        <x:cfvo type="max"/>
        <x:color rgb="63A2CF"/>
      </x:dataBar>
      <x:extLst>
        <x:ext xmlns:x14="http://schemas.microsoft.com/office/spreadsheetml/2009/9/main" uri="{B025F937-C7B1-47D3-B67F-A62EFF666E3E}">
          <x14:id>{3BF7DD8B-1084-84D6-0E96-E43778635D6D}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ffd34a3fb4b4dc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BF7DD8B-1084-84D6-0E96-E43778635D6D}">
            <x14:dataBar gradient="1">
              <x14:cfvo type="min"/>
              <x14:cfvo type="max"/>
              <x14:fillColor rgb="63A2CF"/>
            </x14:dataBar>
          </x14:cfRule>
          <xm:sqref>I9:I16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2.610000610351562" hidden="0" customWidth="1"/>
    <x:col min="2" max="2" width="70" hidden="0" customWidth="1"/>
    <x:col min="3" max="3" width="64" hidden="0" customWidth="1"/>
  </x:cols>
  <x:sheetData>
    <x:row r="1" ht="42" customHeight="1">
      <x:c r="A1" s="18" t="str">
        <x:v>Kategorie</x:v>
      </x:c>
      <x:c r="B1" s="18" t="str">
        <x:v>Quelle/URL</x:v>
      </x:c>
      <x:c r="C1" s="18" t="str">
        <x:v>Notiz</x:v>
      </x:c>
    </x:row>
    <x:row r="2" ht="30" customHeight="1">
      <x:c r="A2" s="10" t="str">
        <x:v>Inserat</x:v>
      </x:c>
      <x:c r="B2" s="10" t="str">
        <x:v>https://www.immobilienscout24.de/expose/165475678</x:v>
      </x:c>
      <x:c r="C2" s="10" t="str">
        <x:v>Daten aus Exposé; Ort, Preis, Fläche, Zustand, Beschreibung.</x:v>
      </x:c>
    </x:row>
    <x:row r="3" ht="30" customHeight="1">
      <x:c r="A3" s="10" t="str">
        <x:v>Inserat</x:v>
      </x:c>
      <x:c r="B3" s="10" t="str">
        <x:v>https://www.immobilienscout24.de/expose/167388287</x:v>
      </x:c>
      <x:c r="C3" s="10" t="str">
        <x:v>Daten aus Exposé; Grundstück 0 m² im Inserat als Klärungspunkt übernommen.</x:v>
      </x:c>
    </x:row>
    <x:row r="4" ht="30" customHeight="1">
      <x:c r="A4" s="10" t="str">
        <x:v>Inserat</x:v>
      </x:c>
      <x:c r="B4" s="10" t="str">
        <x:v>https://www.immobilienscout24.at/expose/685e564ad73668656ae2eabc</x:v>
      </x:c>
      <x:c r="C4" s="10" t="str">
        <x:v>Daten aus Exposé; Inseratspreis 690.000 €, Text enthält abweichend 725.000 €.</x:v>
      </x:c>
    </x:row>
    <x:row r="5" ht="30" customHeight="1">
      <x:c r="A5" s="10" t="str">
        <x:v>Inserat</x:v>
      </x:c>
      <x:c r="B5" s="10" t="str">
        <x:v>https://www.immobilienscout24.at/expose/69f8a3a6897bd2a11f62cafa</x:v>
      </x:c>
      <x:c r="C5" s="10" t="str">
        <x:v>Daten aus Exposé; vom Nutzer doppelt angegeben, in Vergleich einmal geführt.</x:v>
      </x:c>
    </x:row>
    <x:row r="6" ht="30" customHeight="1">
      <x:c r="A6" s="10" t="str">
        <x:v>Inserat</x:v>
      </x:c>
      <x:c r="B6" s="10" t="str">
        <x:v>https://www.immobilienscout24.at/expose/69f2efdc897bd2a11f553783</x:v>
      </x:c>
      <x:c r="C6" s="10" t="str">
        <x:v>Daten aus Exposé; provisionsfrei, Tourismusgebiet-Widmung laut Beschreibung.</x:v>
      </x:c>
    </x:row>
    <x:row r="7" ht="30" customHeight="1">
      <x:c r="A7" s="10" t="str">
        <x:v>Inserat</x:v>
      </x:c>
      <x:c r="B7" s="10" t="str">
        <x:v>https://www.immobilienscout24.at/expose/68025de59f5f64b9788cf711</x:v>
      </x:c>
      <x:c r="C7" s="10" t="str">
        <x:v>Daten aus Exposé; derzeitige Ferienwohnungsnutzung laut Beschreibung.</x:v>
      </x:c>
    </x:row>
    <x:row r="8" ht="30" customHeight="1">
      <x:c r="A8" s="10" t="str">
        <x:v>Inserat</x:v>
      </x:c>
      <x:c r="B8" s="10" t="str">
        <x:v>https://www.immobilienscout24.at/expose/68d0d9ebf233102b247ca274</x:v>
      </x:c>
      <x:c r="C8" s="10" t="str">
        <x:v>Daten aus Exposé; Hochoetz/Taxegg-Lage laut Text.</x:v>
      </x:c>
    </x:row>
    <x:row r="9" ht="30" customHeight="1">
      <x:c r="A9" s="10" t="str">
        <x:v>Inserat</x:v>
      </x:c>
      <x:c r="B9" s="10" t="str">
        <x:v>https://www.immobilienscout24.at/expose/669a6591f711f5bf07edbac8</x:v>
      </x:c>
      <x:c r="C9" s="10" t="str">
        <x:v>Daten aus Exposé; Wohnrecht und Ferienwohnungs-Vermietungsinteresse als Risiko/Potenzial notiert.</x:v>
      </x:c>
    </x:row>
    <x:row r="10" ht="30" customHeight="1">
      <x:c r="A10" s="10" t="str">
        <x:v>Kaufnebenkosten Österreich</x:v>
      </x:c>
      <x:c r="B10" s="10" t="str">
        <x:v>https://www.oesterreich.gv.at/de/themen/bauen_und_wohnen/wohnen/8/Seite.210150</x:v>
      </x:c>
      <x:c r="C10" s="10" t="str">
        <x:v>Grunderwerbsteuer 3,5 %, Grundbuch 1,1 %, Makler-Höchstprovision zzgl. 20 % USt.; Tabelle nutzt vereinfachte Annahmen.</x:v>
      </x:c>
    </x:row>
    <x:row r="11" ht="30" customHeight="1">
      <x:c r="A11" s="10" t="str">
        <x:v>Kaufnebenkosten Österreich</x:v>
      </x:c>
      <x:c r="B11" s="10" t="str">
        <x:v>https://www.bmf.gv.at/themen/steuern/immobilien-grundstuecke/grunderwerbsteuer/steuersatz.html</x:v>
      </x:c>
      <x:c r="C11" s="10" t="str">
        <x:v>BMF: GrESt grundsätzlich 3,5 %.</x:v>
      </x:c>
    </x:row>
    <x:row r="12" ht="30" customHeight="1">
      <x:c r="A12" s="10" t="str">
        <x:v>Google Maps Prüflinks</x:v>
      </x:c>
      <x:c r="B12" s="10" t="str">
        <x:v>https://www.google.com/maps</x:v>
      </x:c>
      <x:c r="C12" s="10" t="str">
        <x:v>Fahrzeiten und Talstationsentfernungen als Näherungen; Links in den Tabellen öffnen die jeweilige Route.</x:v>
      </x:c>
    </x:row>
    <x:row r="13" ht="30" customHeight="1">
      <x:c r="A13" s="10" t="str">
        <x:v>Hinweis</x:v>
      </x:c>
      <x:c r="B13" s="10" t="str">
        <x:v>-</x:v>
      </x:c>
      <x:c r="C13" s="10" t="str">
        <x:v>Keine Prüfung von Grundbuch, Widmung, Freizeitwohnsitzstatus, Bauakt, Vermietungsberechtigung, Umsatzsteuer oder Finanzierung. Diese Punkte sind vor Kauf professionell zu prüfen.</x:v>
      </x:c>
    </x:row>
    <x:row r="14" ht="30" customHeight="1"/>
    <x:row r="15" ht="30" customHeight="1"/>
    <x:row r="16" ht="30" customHeight="1"/>
    <x:row r="17" ht="30" customHeight="1"/>
    <x:row r="18" ht="30" customHeight="1"/>
    <x:row r="19" ht="30" customHeight="1"/>
    <x:row r="20" ht="30" customHeight="1"/>
    <x:row r="21" ht="30" customHeight="1"/>
    <x:row r="22" ht="30" customHeight="1"/>
    <x:row r="23" ht="30" customHeight="1"/>
    <x:row r="24" ht="30" customHeight="1"/>
    <x:row r="25" ht="30" customHeight="1"/>
    <x:row r="26" ht="30" customHeight="1"/>
    <x:row r="27" ht="30" customHeight="1"/>
    <x:row r="28" ht="30" customHeight="1"/>
    <x:row r="29" ht="30" customHeight="1"/>
    <x:row r="30" ht="30" customHeight="1"/>
    <x:row r="31" ht="30" customHeight="1"/>
    <x:row r="32" ht="30" customHeight="1"/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  <x:row r="41" ht="30" customHeight="1"/>
    <x:row r="42" ht="30" customHeight="1"/>
    <x:row r="43" ht="30" customHeight="1"/>
    <x:row r="44" ht="30" customHeight="1"/>
    <x:row r="45" ht="30" customHeight="1"/>
    <x:row r="46" ht="30" customHeight="1"/>
    <x:row r="47" ht="30" customHeight="1"/>
    <x:row r="48" ht="30" customHeight="1"/>
    <x:row r="49" ht="30" customHeight="1"/>
    <x:row r="50" ht="30" customHeight="1"/>
    <x:row r="51" ht="30" customHeight="1"/>
    <x:row r="52" ht="30" customHeight="1"/>
    <x:row r="53" ht="30" customHeight="1"/>
    <x:row r="54" ht="30" customHeight="1"/>
    <x:row r="55" ht="30" customHeight="1"/>
    <x:row r="56" ht="30" customHeight="1"/>
    <x:row r="57" ht="30" customHeight="1"/>
    <x:row r="58" ht="30" customHeight="1"/>
    <x:row r="59" ht="30" customHeight="1"/>
    <x:row r="60" ht="30" customHeight="1"/>
    <x:row r="61" ht="30" customHeight="1"/>
    <x:row r="62" ht="30" customHeight="1"/>
    <x:row r="63" ht="30" customHeight="1"/>
    <x:row r="64" ht="30" customHeight="1"/>
    <x:row r="65" ht="30" customHeight="1"/>
    <x:row r="66" ht="30" customHeight="1"/>
    <x:row r="67" ht="30" customHeight="1"/>
    <x:row r="68" ht="30" customHeight="1"/>
    <x:row r="69" ht="30" customHeight="1"/>
    <x:row r="70" ht="30" customHeight="1"/>
    <x:row r="71" ht="30" customHeight="1"/>
    <x:row r="72" ht="30" customHeight="1"/>
    <x:row r="73" ht="30" customHeight="1"/>
    <x:row r="74" ht="30" customHeight="1"/>
    <x:row r="75" ht="30" customHeight="1"/>
    <x:row r="76" ht="30" customHeight="1"/>
    <x:row r="77" ht="30" customHeight="1"/>
    <x:row r="78" ht="30" customHeight="1"/>
    <x:row r="79" ht="30" customHeight="1"/>
    <x:row r="80" ht="30" customHeight="1"/>
    <x:row r="81" ht="30" customHeight="1"/>
    <x:row r="82" ht="30" customHeight="1"/>
    <x:row r="83" ht="30" customHeight="1"/>
    <x:row r="84" ht="30" customHeight="1"/>
    <x:row r="85" ht="30" customHeight="1"/>
    <x:row r="86" ht="30" customHeight="1"/>
    <x:row r="87" ht="30" customHeight="1"/>
    <x:row r="88" ht="30" customHeight="1"/>
    <x:row r="89" ht="30" customHeight="1"/>
    <x:row r="90" ht="30" customHeight="1"/>
    <x:row r="91" ht="30" customHeight="1"/>
    <x:row r="92" ht="30" customHeight="1"/>
    <x:row r="93" ht="30" customHeight="1"/>
    <x:row r="94" ht="30" customHeight="1"/>
    <x:row r="95" ht="30" customHeight="1"/>
    <x:row r="96" ht="30" customHeight="1"/>
    <x:row r="97" ht="30" customHeight="1"/>
    <x:row r="98" ht="30" customHeight="1"/>
    <x:row r="99" ht="30" customHeight="1"/>
    <x:row r="100" ht="30" customHeight="1"/>
    <x:row r="101" ht="30" customHeight="1"/>
    <x:row r="102" ht="30" customHeight="1"/>
    <x:row r="103" ht="30" customHeight="1"/>
    <x:row r="104" ht="30" customHeight="1"/>
    <x:row r="105" ht="30" customHeight="1"/>
    <x:row r="106" ht="30" customHeight="1"/>
    <x:row r="107" ht="30" customHeight="1"/>
    <x:row r="108" ht="30" customHeight="1"/>
    <x:row r="109" ht="30" customHeight="1"/>
    <x:row r="110" ht="30" customHeight="1"/>
    <x:row r="111" ht="30" customHeight="1"/>
    <x:row r="112" ht="30" customHeight="1"/>
    <x:row r="113" ht="30" customHeight="1"/>
    <x:row r="114" ht="30" customHeight="1"/>
    <x:row r="115" ht="30" customHeight="1"/>
    <x:row r="116" ht="30" customHeight="1"/>
    <x:row r="117" ht="30" customHeight="1"/>
    <x:row r="118" ht="30" customHeight="1"/>
    <x:row r="119" ht="30" customHeight="1"/>
    <x:row r="120" ht="30" customHeight="1"/>
    <x:row r="121" ht="30" customHeight="1"/>
    <x:row r="122" ht="30" customHeight="1"/>
    <x:row r="123" ht="30" customHeight="1"/>
    <x:row r="124" ht="30" customHeight="1"/>
    <x:row r="125" ht="30" customHeight="1"/>
    <x:row r="126" ht="30" customHeight="1"/>
    <x:row r="127" ht="30" customHeight="1"/>
    <x:row r="128" ht="30" customHeight="1"/>
    <x:row r="129" ht="30" customHeight="1"/>
    <x:row r="130" ht="30" customHeight="1"/>
    <x:row r="131" ht="30" customHeight="1"/>
    <x:row r="132" ht="30" customHeight="1"/>
    <x:row r="133" ht="30" customHeight="1"/>
    <x:row r="134" ht="30" customHeight="1"/>
    <x:row r="135" ht="30" customHeight="1"/>
    <x:row r="136" ht="30" customHeight="1"/>
    <x:row r="137" ht="30" customHeight="1"/>
    <x:row r="138" ht="30" customHeight="1"/>
    <x:row r="139" ht="30" customHeight="1"/>
    <x:row r="140" ht="30" customHeight="1"/>
    <x:row r="141" ht="30" customHeight="1"/>
    <x:row r="142" ht="30" customHeight="1"/>
    <x:row r="143" ht="30" customHeight="1"/>
    <x:row r="144" ht="30" customHeight="1"/>
    <x:row r="145" ht="30" customHeight="1"/>
    <x:row r="146" ht="30" customHeight="1"/>
    <x:row r="147" ht="30" customHeight="1"/>
    <x:row r="148" ht="30" customHeight="1"/>
    <x:row r="149" ht="30" customHeight="1"/>
    <x:row r="150" ht="30" customHeight="1"/>
    <x:row r="151" ht="30" customHeight="1"/>
    <x:row r="152" ht="30" customHeight="1"/>
    <x:row r="153" ht="30" customHeight="1"/>
    <x:row r="154" ht="30" customHeight="1"/>
    <x:row r="155" ht="30" customHeight="1"/>
    <x:row r="156" ht="30" customHeight="1"/>
    <x:row r="157" ht="30" customHeight="1"/>
    <x:row r="158" ht="30" customHeight="1"/>
    <x:row r="159" ht="30" customHeight="1"/>
    <x:row r="160" ht="30" customHeight="1"/>
    <x:row r="161" ht="30" customHeight="1"/>
    <x:row r="162" ht="30" customHeight="1"/>
    <x:row r="163" ht="30" customHeight="1"/>
    <x:row r="164" ht="30" customHeight="1"/>
    <x:row r="165" ht="30" customHeight="1"/>
    <x:row r="166" ht="30" customHeight="1"/>
    <x:row r="167" ht="30" customHeight="1"/>
    <x:row r="168" ht="30" customHeight="1"/>
    <x:row r="169" ht="30" customHeight="1"/>
    <x:row r="170" ht="30" customHeight="1"/>
    <x:row r="171" ht="30" customHeight="1"/>
    <x:row r="172" ht="30" customHeight="1"/>
    <x:row r="173" ht="30" customHeight="1"/>
    <x:row r="174" ht="30" customHeight="1"/>
    <x:row r="175" ht="30" customHeight="1"/>
    <x:row r="176" ht="30" customHeight="1"/>
    <x:row r="177" ht="30" customHeight="1"/>
    <x:row r="178" ht="30" customHeight="1"/>
    <x:row r="179" ht="30" customHeight="1"/>
    <x:row r="180" ht="30" customHeight="1"/>
    <x:row r="181" ht="30" customHeight="1"/>
    <x:row r="182" ht="30" customHeight="1"/>
    <x:row r="183" ht="30" customHeight="1"/>
    <x:row r="184" ht="30" customHeight="1"/>
    <x:row r="185" ht="30" customHeight="1"/>
    <x:row r="186" ht="30" customHeight="1"/>
    <x:row r="187" ht="30" customHeight="1"/>
    <x:row r="188" ht="30" customHeight="1"/>
    <x:row r="189" ht="30" customHeight="1"/>
    <x:row r="190" ht="30" customHeight="1"/>
    <x:row r="191" ht="30" customHeight="1"/>
    <x:row r="192" ht="30" customHeight="1"/>
    <x:row r="193" ht="30" customHeight="1"/>
    <x:row r="194" ht="30" customHeight="1"/>
    <x:row r="195" ht="30" customHeight="1"/>
    <x:row r="196" ht="30" customHeight="1"/>
    <x:row r="197" ht="30" customHeight="1"/>
    <x:row r="198" ht="30" customHeight="1"/>
    <x:row r="199" ht="30" customHeight="1"/>
    <x:row r="200" ht="30" customHeight="1"/>
  </x:sheetData>
  <x:pageMargins left="0.7" right="0.7" top="0.75" bottom="0.75" header="0.3" footer="0.3"/>
</x:worksheet>
</file>